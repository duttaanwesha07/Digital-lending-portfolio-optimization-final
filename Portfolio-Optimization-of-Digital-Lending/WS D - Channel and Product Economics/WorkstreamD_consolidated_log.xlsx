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Slice_A" sheetId="2" state="visible" r:id="rId4"/>
    <sheet name="Slice_B" sheetId="3" state="visible" r:id="rId5"/>
    <sheet name="Slice_C" sheetId="4" state="visible" r:id="rId6"/>
    <sheet name="EqualMOB_check" sheetId="5" state="visible" r:id="rId7"/>
    <sheet name="Findings" sheetId="6" state="visible" r:id="rId8"/>
    <sheet name="Portfolio_Overview" sheetId="7" state="visible" r:id="rId9"/>
    <sheet name="Vintage" sheetId="8" state="visible" r:id="rId10"/>
    <sheet name="RollRate" sheetId="9" state="visible" r:id="rId11"/>
    <sheet name="Gate2_Readiness" sheetId="10" state="visible" r:id="rId12"/>
    <sheet name="Q2_Channel_Economics" sheetId="11" state="visible" r:id="rId13"/>
    <sheet name="Q2_DSA_Decomposition" sheetId="12" state="visible" r:id="rId14"/>
    <sheet name="Q2_Findings" sheetId="13" state="visible" r:id="rId15"/>
    <sheet name="Q2Q3_Reconciliation" sheetId="14" state="visible" r:id="rId16"/>
    <sheet name="Q2Q3_Crossover" sheetId="15" state="visible" r:id="rId1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<sst xmlns="http://schemas.openxmlformats.org/spreadsheetml/2006/main" count="382" uniqueCount="281">
  <si>
    <t xml:space="preserve">Workstream D — Consolidated EDA log (Q2 + Q3 + diagnostics)</t>
  </si>
  <si>
    <t xml:space="preserve">Controlled results log</t>
  </si>
  <si>
    <t xml:space="preserve">— every Q3 slice cell, one row per cell, one column per metric.</t>
  </si>
  <si>
    <t xml:space="preserve">— Q2 channel economics + Q3 product/ticket/tenure + cross-cutting EDA (vintage, roll-rate, portfolio) + audit. For Gate 2.</t>
  </si>
  <si>
    <t xml:space="preserve">Data provenance</t>
  </si>
  <si>
    <t xml:space="preserve">Synthetic dataset, Workstream C. Seed 20260603 (frozen). Gate 1 = PASS (32/32 MUST).</t>
  </si>
  <si>
    <t xml:space="preserve">49,600 loans / 40,000 customers. Single snapshot at month 24.</t>
  </si>
  <si>
    <t xml:space="preserve">Unit of analysis</t>
  </si>
  <si>
    <t xml:space="preserve">LOAN level (not per-customer — do not mix with the Q2 channel cut, which is per-customer).</t>
  </si>
  <si>
    <t xml:space="preserve">Definitions</t>
  </si>
  <si>
    <t xml:space="preserve">value_proxy (profit) = NII + Fee − Loss − Servicing − CAC  (already net of CAC; spec §9.3).</t>
  </si>
  <si>
    <t xml:space="preserve">margin_before_cac = NII + Fee − Loss − Servicing.</t>
  </si>
  <si>
    <t xml:space="preserve">default_% = share of loans ever 90+ DPD (default_flag).</t>
  </si>
  <si>
    <t xml:space="preserve">maturity_% = mean months-on-book ÷ mean tenure = how aged a cell is.</t>
  </si>
  <si>
    <t xml:space="preserve">Caveats</t>
  </si>
  <si>
    <t xml:space="preserve">1) Single calendar snapshot, mixed loan ages (median 5 MOB; 52% younger than 6 MOB).</t>
  </si>
  <si>
    <t xml:space="preserve">2) Censoring: low-maturity cells show profit/default "so far", not lifetime — long/large cells UNDERSTATED.</t>
  </si>
  <si>
    <t xml:space="preserve">3) BNPL ticket bands rescaled to the real ₹2k–50k range (Assumptions A-033); the handoffs &lt;2k/2-5k/&gt;5k</t>
  </si>
  <si>
    <t xml:space="preserve">   were broken (median ticket ≈ ₹11k). Coordinate these bands with the Q2 owner before reconciling.</t>
  </si>
  <si>
    <t xml:space="preserve">4) Lifetime default projection is Workstream Gs job; here we report realised, observed-to-date numbers.</t>
  </si>
  <si>
    <t xml:space="preserve">One number, one source</t>
  </si>
  <si>
    <t xml:space="preserve">value_proxy reconciles to its components to &lt;1 rupee. Report &amp; deck should read from this file.</t>
  </si>
  <si>
    <t xml:space="preserve">Slice A — Product baseline (loan-level)</t>
  </si>
  <si>
    <t xml:space="preserve">Product</t>
  </si>
  <si>
    <t xml:space="preserve">n_loans</t>
  </si>
  <si>
    <t xml:space="preserve">share_of_book</t>
  </si>
  <si>
    <t xml:space="preserve">default_%</t>
  </si>
  <si>
    <t xml:space="preserve">mean_ticket (₹)</t>
  </si>
  <si>
    <t xml:space="preserve">mean_tenure (mo)</t>
  </si>
  <si>
    <t xml:space="preserve">mean_APR</t>
  </si>
  <si>
    <t xml:space="preserve">mean_profit (₹)</t>
  </si>
  <si>
    <t xml:space="preserve">total_profit (₹)</t>
  </si>
  <si>
    <t xml:space="preserve">total_profit (₹ cr)</t>
  </si>
  <si>
    <t xml:space="preserve">profit_share</t>
  </si>
  <si>
    <t xml:space="preserve">BNPL</t>
  </si>
  <si>
    <t xml:space="preserve">Personal</t>
  </si>
  <si>
    <t xml:space="preserve">SME</t>
  </si>
  <si>
    <t xml:space="preserve">TOTAL</t>
  </si>
  <si>
    <t xml:space="preserve">Slice B — Product × Tenure (loan-level)</t>
  </si>
  <si>
    <t xml:space="preserve">Bucket</t>
  </si>
  <si>
    <t xml:space="preserve">share_of_product</t>
  </si>
  <si>
    <t xml:space="preserve">mean_MOB</t>
  </si>
  <si>
    <t xml:space="preserve">mean_tenure</t>
  </si>
  <si>
    <t xml:space="preserve">maturity</t>
  </si>
  <si>
    <t xml:space="preserve">flag</t>
  </si>
  <si>
    <t xml:space="preserve">1-3</t>
  </si>
  <si>
    <t xml:space="preserve">4-6</t>
  </si>
  <si>
    <t xml:space="preserve">3-12</t>
  </si>
  <si>
    <t xml:space="preserve">13-24</t>
  </si>
  <si>
    <t xml:space="preserve">25-36</t>
  </si>
  <si>
    <t xml:space="preserve">6-12</t>
  </si>
  <si>
    <t xml:space="preserve">25-36+</t>
  </si>
  <si>
    <t xml:space="preserve">Slice C — Product × Ticket (loan-level)</t>
  </si>
  <si>
    <t xml:space="preserve">&lt;10k</t>
  </si>
  <si>
    <t xml:space="preserve">10-25k</t>
  </si>
  <si>
    <t xml:space="preserve">&gt;25k</t>
  </si>
  <si>
    <t xml:space="preserve">&lt;50k</t>
  </si>
  <si>
    <t xml:space="preserve">50-150k</t>
  </si>
  <si>
    <t xml:space="preserve">&gt;150k</t>
  </si>
  <si>
    <t xml:space="preserve">&lt;250k</t>
  </si>
  <si>
    <t xml:space="preserve">250k-1M</t>
  </si>
  <si>
    <t xml:space="preserve">&gt;1M</t>
  </si>
  <si>
    <t xml:space="preserve">Equal-MOB default check (light) — does long-tenure "low default" survive same-time comparison?</t>
  </si>
  <si>
    <t xml:space="preserve">Tenure bucket</t>
  </si>
  <si>
    <t xml:space="preserve">raw default</t>
  </si>
  <si>
    <t xml:space="preserve">default @ MOB 12</t>
  </si>
  <si>
    <t xml:space="preserve">n watched 12mo</t>
  </si>
  <si>
    <t xml:space="preserve">read</t>
  </si>
  <si>
    <t xml:space="preserve">long still lower at equal time → genuine, not just youth</t>
  </si>
  <si>
    <t xml:space="preserve">long still lower at equal time → selection effect</t>
  </si>
  <si>
    <t xml:space="preserve">Note: raw &gt; @MOB12 because raw counts the whole observed life; capping at 12 months removes the maturity gap.</t>
  </si>
  <si>
    <t xml:space="preserve">Q3 Findings</t>
  </si>
  <si>
    <t xml:space="preserve">Headline answer</t>
  </si>
  <si>
    <t xml:space="preserve">Yes — there is a structurally money-losing combination: BNPL, across ALL tickets and ALL tenures.</t>
  </si>
  <si>
    <t xml:space="preserve">1</t>
  </si>
  <si>
    <t xml:space="preserve">SME is the profit engine: 20% of loans but 78% of book profit (₹37.0 cr of ₹47.4 cr).</t>
  </si>
  <si>
    <t xml:space="preserve">2</t>
  </si>
  <si>
    <t xml:space="preserve">BNPL loses money on average — −₹912/loan, a −₹1.57 cr drag — and it bleeds at every ticket band</t>
  </si>
  <si>
    <t xml:space="preserve">   (even &gt;₹25k = −₹803) and every tenure, on 92–96% mature loans. Not a small-ticket floor problem; the whole product.</t>
  </si>
  <si>
    <t xml:space="preserve">3</t>
  </si>
  <si>
    <t xml:space="preserve">Large-ticket SME (&gt;₹1M) is the single best cell: ₹69,604/loan, ₹25.6 cr — over half the books profit.</t>
  </si>
  <si>
    <t xml:space="preserve">4</t>
  </si>
  <si>
    <t xml:space="preserve">Profit rises with both tenure and ticket for Personal &amp; SME; longer tenure is also genuinely lower-risk (equal-MOB check).</t>
  </si>
  <si>
    <t xml:space="preserve">5</t>
  </si>
  <si>
    <t xml:space="preserve">Small-ticket Personal (&lt;₹50k) is the marginal watch-cell: barely positive (+₹168) and highest Personal default (8.5%).</t>
  </si>
  <si>
    <t xml:space="preserve">Money-losing cells</t>
  </si>
  <si>
    <t xml:space="preserve">BNPL 1-3mo (−₹948), BNPL 4-6mo (−₹849); BNPL &lt;10k (−₹917), 10-25k (−₹955), &gt;25k (−₹803).</t>
  </si>
  <si>
    <t xml:space="preserve">Implication for I/G</t>
  </si>
  <si>
    <t xml:space="preserve">BNPL: exit / contain / rework cost structure (CAC + merchant-subsidised fee + pricing) — a ticket floor alone wont fix it.</t>
  </si>
  <si>
    <t xml:space="preserve">SME large-ticket: grow. Personal small-ticket: re-price or tighten, dont kill.</t>
  </si>
  <si>
    <t xml:space="preserve">Portfolio overview — state of the book @ M24</t>
  </si>
  <si>
    <t xml:space="preserve">Headline KPIs</t>
  </si>
  <si>
    <t xml:space="preserve">Loans</t>
  </si>
  <si>
    <t xml:space="preserve">Customers</t>
  </si>
  <si>
    <t xml:space="preserve">Loans per customer</t>
  </si>
  <si>
    <t xml:space="preserve">Total originated (₹ cr)</t>
  </si>
  <si>
    <t xml:space="preserve">Current outstanding, active (₹ cr)</t>
  </si>
  <si>
    <t xml:space="preserve">Book profit (₹ cr)</t>
  </si>
  <si>
    <t xml:space="preserve">Ever 90+ / default rate</t>
  </si>
  <si>
    <t xml:space="preserve">Currently delinquent (active)</t>
  </si>
  <si>
    <t xml:space="preserve">Currently 90+ (active)</t>
  </si>
  <si>
    <t xml:space="preserve">WA APR (ticket-weighted)</t>
  </si>
  <si>
    <t xml:space="preserve">WA tenure (months)</t>
  </si>
  <si>
    <t xml:space="preserve">Mean ticket (₹)</t>
  </si>
  <si>
    <t xml:space="preserve">Concentration by product</t>
  </si>
  <si>
    <t xml:space="preserve">exposure (₹ cr)</t>
  </si>
  <si>
    <t xml:space="preserve">profit (₹ cr)</t>
  </si>
  <si>
    <t xml:space="preserve">% loans</t>
  </si>
  <si>
    <t xml:space="preserve">% exposure</t>
  </si>
  <si>
    <t xml:space="preserve">% profit</t>
  </si>
  <si>
    <t xml:space="preserve">Story: SME = 20% of loans but ~76% of exposure and ~78% of profit; BNPL = high-volume, near-zero-exposure, loss-making tail.</t>
  </si>
  <si>
    <t xml:space="preserve">Vintage / cohort analysis</t>
  </si>
  <si>
    <t xml:space="preserve">Raw default falls with recency = maturity artefact; equal-age (30+ by MOB3) drifts UP = real R10 deterioration.</t>
  </si>
  <si>
    <t xml:space="preserve">Cohort</t>
  </si>
  <si>
    <t xml:space="preserve">n</t>
  </si>
  <si>
    <t xml:space="preserve">raw default %</t>
  </si>
  <si>
    <t xml:space="preserve">30+ by MOB3 % (equal age)</t>
  </si>
  <si>
    <t xml:space="preserve">n watched 3mo</t>
  </si>
  <si>
    <t xml:space="preserve">grade D+E intake %</t>
  </si>
  <si>
    <t xml:space="preserve">2024-07</t>
  </si>
  <si>
    <t xml:space="preserve">2024-08</t>
  </si>
  <si>
    <t xml:space="preserve">2024-09</t>
  </si>
  <si>
    <t xml:space="preserve">2024-10</t>
  </si>
  <si>
    <t xml:space="preserve">2024-11</t>
  </si>
  <si>
    <t xml:space="preserve">2024-12</t>
  </si>
  <si>
    <t xml:space="preserve">2025-01</t>
  </si>
  <si>
    <t xml:space="preserve">2025-02</t>
  </si>
  <si>
    <t xml:space="preserve">2025-03</t>
  </si>
  <si>
    <t xml:space="preserve">2025-04</t>
  </si>
  <si>
    <t xml:space="preserve">2025-05</t>
  </si>
  <si>
    <t xml:space="preserve">2025-06</t>
  </si>
  <si>
    <t xml:space="preserve">2025-07</t>
  </si>
  <si>
    <t xml:space="preserve">2025-08</t>
  </si>
  <si>
    <t xml:space="preserve">2025-09</t>
  </si>
  <si>
    <t xml:space="preserve">2025-10</t>
  </si>
  <si>
    <t xml:space="preserve">2025-11</t>
  </si>
  <si>
    <t xml:space="preserve">2025-12</t>
  </si>
  <si>
    <t xml:space="preserve">2026-01</t>
  </si>
  <si>
    <t xml:space="preserve">2026-02</t>
  </si>
  <si>
    <t xml:space="preserve">2026-03</t>
  </si>
  <si>
    <t xml:space="preserve">2026-04</t>
  </si>
  <si>
    <t xml:space="preserve">2026-05</t>
  </si>
  <si>
    <t xml:space="preserve">2026-06</t>
  </si>
  <si>
    <t xml:space="preserve">Delinquency roll-rate matrix (month-to-month, % of row)</t>
  </si>
  <si>
    <t xml:space="preserve">61–90 is the point of no return: 74% roll to 90+. Cure chance: 1-30 68% → 31-60 36% → 61-90 21%.</t>
  </si>
  <si>
    <t xml:space="preserve">this month \ next</t>
  </si>
  <si>
    <t xml:space="preserve">Current</t>
  </si>
  <si>
    <t xml:space="preserve">1-30</t>
  </si>
  <si>
    <t xml:space="preserve">31-60</t>
  </si>
  <si>
    <t xml:space="preserve">61-90</t>
  </si>
  <si>
    <t xml:space="preserve">90+</t>
  </si>
  <si>
    <t xml:space="preserve">row check</t>
  </si>
  <si>
    <t xml:space="preserve">Time-to-first-delinquency: median 2 MOB, mean 3.8 MOB. 55% of loans touch delinquency; ~7.7% ultimately default.</t>
  </si>
  <si>
    <t xml:space="preserve">Gate 2 (EDA review) — readiness on our side</t>
  </si>
  <si>
    <t xml:space="preserve">Gate 2 requirement</t>
  </si>
  <si>
    <t xml:space="preserve">Status</t>
  </si>
  <si>
    <t xml:space="preserve">Owner</t>
  </si>
  <si>
    <t xml:space="preserve">Where</t>
  </si>
  <si>
    <t xml:space="preserve">Insights decision-relevant, not descriptive</t>
  </si>
  <si>
    <t xml:space="preserve">DONE</t>
  </si>
  <si>
    <t xml:space="preserve">us</t>
  </si>
  <si>
    <t xml:space="preserve">all slices + fragments</t>
  </si>
  <si>
    <t xml:space="preserve">One-line takeaway under every chart</t>
  </si>
  <si>
    <t xml:space="preserve">charts</t>
  </si>
  <si>
    <t xml:space="preserve">Unit economics netted (loss, CAC, servicing)</t>
  </si>
  <si>
    <t xml:space="preserve">Slice_A decomposition</t>
  </si>
  <si>
    <t xml:space="preserve">Product / ticket / tenure economics (Q3)</t>
  </si>
  <si>
    <t xml:space="preserve">Slice_A/B/C</t>
  </si>
  <si>
    <t xml:space="preserve">Cohort / vintage analysis</t>
  </si>
  <si>
    <t xml:space="preserve">Vintage</t>
  </si>
  <si>
    <t xml:space="preserve">Roll-rate / bucket migration</t>
  </si>
  <si>
    <t xml:space="preserve">RollRate</t>
  </si>
  <si>
    <t xml:space="preserve">Portfolio overview exhibit</t>
  </si>
  <si>
    <t xml:space="preserve">Portfolio_Overview</t>
  </si>
  <si>
    <t xml:space="preserve">Numbers logged to controlled source</t>
  </si>
  <si>
    <t xml:space="preserve">this workbook</t>
  </si>
  <si>
    <t xml:space="preserve">Channel performance + CAC payback / CLV (Q2)</t>
  </si>
  <si>
    <t xml:space="preserve">coworker</t>
  </si>
  <si>
    <t xml:space="preserve">Q2_* sheets (incorporated)</t>
  </si>
  <si>
    <t xml:space="preserve">EM + Senior Risk Consultant sign-off</t>
  </si>
  <si>
    <t xml:space="preserve">PENDING</t>
  </si>
  <si>
    <t xml:space="preserve">EM / PMO</t>
  </si>
  <si>
    <t xml:space="preserve">Gate 2 review meeting</t>
  </si>
  <si>
    <t xml:space="preserve">Our half of Workstream D is gate-ready. Outstanding: coworker confirms the Q2 channel cut, then EM/PMO sign-off.</t>
  </si>
  <si>
    <t xml:space="preserve">Product×channel crossover (capstone)</t>
  </si>
  <si>
    <t xml:space="preserve">us + coworker</t>
  </si>
  <si>
    <t xml:space="preserve">Q2Q3_Crossover</t>
  </si>
  <si>
    <t xml:space="preserve">Q2 — Channel economics (coworker; incorporated)</t>
  </si>
  <si>
    <t xml:space="preserve">Per-loan, same value_proxy as Q3. Reconciles to the book total (see Q2Q3_Reconciliation).</t>
  </si>
  <si>
    <t xml:space="preserve">Channel</t>
  </si>
  <si>
    <t xml:space="preserve">Share</t>
  </si>
  <si>
    <t xml:space="preserve">Avg CAC (₹)</t>
  </si>
  <si>
    <t xml:space="preserve">Default</t>
  </si>
  <si>
    <t xml:space="preserve">Mean profit (₹)</t>
  </si>
  <si>
    <t xml:space="preserve">Median profit (₹)</t>
  </si>
  <si>
    <t xml:space="preserve">Skew %</t>
  </si>
  <si>
    <t xml:space="preserve">Payback (mo)</t>
  </si>
  <si>
    <t xml:space="preserve">CLV/CAC</t>
  </si>
  <si>
    <t xml:space="preserve">Referral</t>
  </si>
  <si>
    <t xml:space="preserve">Partner-embedded</t>
  </si>
  <si>
    <t xml:space="preserve">Digital ads</t>
  </si>
  <si>
    <t xml:space="preserve">Organic</t>
  </si>
  <si>
    <t xml:space="preserve">DSA</t>
  </si>
  <si>
    <t xml:space="preserve">Ranking by mean profit: Referral &gt; Partner &gt; Digital &gt; Organic &gt; DSA. No channel structurally broken at the channel-average level.</t>
  </si>
  <si>
    <t xml:space="preserve">Q2 — DSA decomposition (coworker; incorporated)</t>
  </si>
  <si>
    <t xml:space="preserve">DSA is worst because of grade MIX (more D/E), not within-grade behaviour (all within-grade gaps &lt; 1pp).</t>
  </si>
  <si>
    <t xml:space="preserve">A. Grade mix: DSA vs non-DSA</t>
  </si>
  <si>
    <t xml:space="preserve">Grade</t>
  </si>
  <si>
    <t xml:space="preserve">DSA %</t>
  </si>
  <si>
    <t xml:space="preserve">Non-DSA %</t>
  </si>
  <si>
    <t xml:space="preserve">Gap (pp)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</si>
  <si>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</si>
  <si>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</si>
  <si>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</si>
  <si>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</si>
  <si>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</si>
  <si>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B. Default rate within each grade: DSA vs non-DSA</t>
  </si>
  <si>
    <t xml:space="preserve">DSA default %</t>
  </si>
  <si>
    <t xml:space="preserve">Non-DSA default %</t>
  </si>
  <si>
    <t xml:space="preserve">Q2 — Findings (coworker; incorporated)</t>
  </si>
  <si>
    <t xml:space="preserve">#</t>
  </si>
  <si>
    <t xml:space="preserve">Finding</t>
  </si>
  <si>
    <t xml:space="preserve">F1</t>
  </si>
  <si>
    <t xml:space="preserve">Channel profitability per loan ranges from ₹10,086 (Referral) to ₹8,314 (DSA), a spread of ~21%.</t>
  </si>
  <si>
    <t xml:space="preserve">F2</t>
  </si>
  <si>
    <t xml:space="preserve">DSA is the only channel weak on both absolute profit (worst) and capital efficiency (tied lowest CLV/CAC at 8.9×).</t>
  </si>
  <si>
    <t xml:space="preserve">F3</t>
  </si>
  <si>
    <t xml:space="preserve">Every channel pays back its CAC in under 3 months. No channel is structurally broken — the recommendation is reallocation, not exit.</t>
  </si>
  <si>
    <t xml:space="preserve">F4</t>
  </si>
  <si>
    <t xml:space="preserve">Digital ads ranks 3rd by mean profit but LAST by median profit (₹2,965). Its mean is propped up by a small number of high-margin loans (skew 228%).</t>
  </si>
  <si>
    <t xml:space="preserve">F5</t>
  </si>
  <si>
    <t xml:space="preserve">DSA's elevated default rate is driven by grade mix (3.7 pp fewer grade-A, 2.4 pp more grade-E), not by within-grade behaviour (all gaps &lt;1 pp).</t>
  </si>
  <si>
    <t xml:space="preserve">F6</t>
  </si>
  <si>
    <t xml:space="preserve">Tighten DSA grade filter at intake (cap D/E exposure) AND negotiate DSA commission down from ₹1,021. The grade filter fixes the quality problem; the commission cut fixes the cost problem. Neither alone is sufficient</t>
  </si>
  <si>
    <t xml:space="preserve">F7</t>
  </si>
  <si>
    <t xml:space="preserve">Digital ads' median profit per loan (₹2,965) is the lowest of any channel — 17% below Referral's. Its healthy mean (₹9,721) is sustained by a concentrated tail of high-margin loans. Recommendation: establish a quarterly monitoring trigger on median profit and identify the composition of the high-margin tail to quantify concentration risk.</t>
  </si>
  <si>
    <t xml:space="preserve">Audit — Q2 × Q3 reconciliation &amp; the product×channel gap</t>
  </si>
  <si>
    <t xml:space="preserve">Reconciliation (Q2 and Q3 are two cuts of the SAME 49,600 loans):</t>
  </si>
  <si>
    <t xml:space="preserve">Check</t>
  </si>
  <si>
    <t xml:space="preserve">Value</t>
  </si>
  <si>
    <t xml:space="preserve">Note</t>
  </si>
  <si>
    <t xml:space="preserve">Verdict</t>
  </si>
  <si>
    <t xml:space="preserve">Channel loan counts sum</t>
  </si>
  <si>
    <t xml:space="preserve">49,600</t>
  </si>
  <si>
    <t xml:space="preserve">matches book total</t>
  </si>
  <si>
    <t xml:space="preserve">✅ tie</t>
  </si>
  <si>
    <t xml:space="preserve">Channel profit sum</t>
  </si>
  <si>
    <t xml:space="preserve">₹47.36 cr</t>
  </si>
  <si>
    <t xml:space="preserve">matches product profit sum (₹47.36 cr)</t>
  </si>
  <si>
    <t xml:space="preserve">✅ identical</t>
  </si>
  <si>
    <t xml:space="preserve">Channel mean profit/loan</t>
  </si>
  <si>
    <t xml:space="preserve">matches coworker to the ₹</t>
  </si>
  <si>
    <t xml:space="preserve">all 5 channels</t>
  </si>
  <si>
    <t xml:space="preserve">✅ same source</t>
  </si>
  <si>
    <t xml:space="preserve">value_proxy definition</t>
  </si>
  <si>
    <t xml:space="preserve">NII+Fee−Loss−Servicing−CAC</t>
  </si>
  <si>
    <t xml:space="preserve">same in Q2 and Q3</t>
  </si>
  <si>
    <t xml:space="preserve">✅ consistent</t>
  </si>
  <si>
    <t xml:space="preserve">Grain</t>
  </si>
  <si>
    <t xml:space="preserve">per-loan</t>
  </si>
  <si>
    <t xml:space="preserve">Q2 (final) and Q3 both per-loan</t>
  </si>
  <si>
    <t xml:space="preserve">✅ aligned</t>
  </si>
  <si>
    <t xml:space="preserve">Product × channel mean profit (₹/loan) — BNPL is negative in EVERY channel:</t>
  </si>
  <si>
    <t xml:space="preserve">AUDIT FINDING: Q2 ("no channel broken") and Q3 ("BNPL broken") are BOTH correct and reconcile — they slice the same loans differently.</t>
  </si>
  <si>
    <t xml:space="preserve">The BNPL loss sits inside every channel; channel averages hide it because SME/Personal subsidise BNPL within each channel.</t>
  </si>
  <si>
    <t xml:space="preserve">Worst cell = BNPL on Digital ads (−₹1,326) — which also explains Digital ads’ high skew (big SME tail + BNPL drag).</t>
  </si>
  <si>
    <t xml:space="preserve">RECOMMENDED ROUTE: complete the product×channel crossover (the cell both analysts flagged) before the recommendation workstream,</t>
  </si>
  <si>
    <t xml:space="preserve">so "exit/contain BNPL" becomes precise: where (which channels) and how (intake vs pricing). This sharpens, not changes, the conclusion.</t>
  </si>
  <si>
    <t xml:space="preserve">Capstone — product × channel crossover</t>
  </si>
  <si>
    <t xml:space="preserve">Resolves the Q2/Q3 tension: BNPL loses in every channel; the drag concentrates in Digital ads &amp; DSA.</t>
  </si>
  <si>
    <t xml:space="preserve">A. Mean profit (₹/loan) by product × channel</t>
  </si>
  <si>
    <t xml:space="preserve">B. BNPL by channel — where to act (sorted by aggregate loss)</t>
  </si>
  <si>
    <t xml:space="preserve">BNPL loans</t>
  </si>
  <si>
    <t xml:space="preserve">BNPL mean (₹)</t>
  </si>
  <si>
    <t xml:space="preserve">BNPL total loss (₹ cr)</t>
  </si>
  <si>
    <t xml:space="preserve">% of BNPL drag</t>
  </si>
  <si>
    <t xml:space="preserve">BNPL default</t>
  </si>
  <si>
    <t xml:space="preserve">FINDING: Digital ads alone = ~50% of the ₹1.57 cr BNPL drag (most BNPL volume + worst per-loan loss).</t>
  </si>
  <si>
    <t xml:space="preserve">Digital ads + Partner-embedded + DSA = ~89% of the drag. Referral/Organic BNPL is small and barely negative.</t>
  </si>
  <si>
    <t xml:space="preserve">ACTION: throttle/tighten BNPL acquisition via Digital ads &amp; DSA first; protect the profitable SME flow on those same channels.</t>
  </si>
  <si>
    <t xml:space="preserve">This turns "exit/contain BNPL" into a targeted move — it sharpens, not changes, the Q3 conclusion.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</si>
</sst>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0.0%"/>
    <numFmt numFmtId="166" formatCode="\₹#,##0"/>
    <numFmt numFmtId="167" formatCode="\₹#,##0;&quot;(₹&quot;#,##0\)"/>
    <numFmt numFmtId="168" formatCode="\₹#,##0.00"/>
    <numFmt numFmtId="169" formatCode="0"/>
    <numFmt numFmtId="170" formatCode="0.00"/>
    <numFmt numFmtId="171" formatCode="\₹#,##0.0"/>
    <numFmt numFmtId="172" formatCode="0.0"/>
    <numFmt numFmtId="173" formatCode="0.0\x"/>
    <numFmt numFmtId="174" formatCode="\₹#,##0;&quot;(₹&quot;#,##0\)"/>
    <numFmt numFmtId="175" formatCode="\₹#,##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8CBAD"/>
        <bgColor rgb="FFFFEB9C"/>
      </patternFill>
    </fill>
    <fill>
      <patternFill patternType="solid">
        <fgColor rgb="FFD9E1F2"/>
        <bgColor rgb="FFC6EFCE"/>
      </patternFill>
    </fill>
    <fill>
      <patternFill patternType="solid">
        <fgColor rgb="FFFFF2CC"/>
        <bgColor rgb="FFFFEB9C"/>
      </patternFill>
    </fill>
    <fill>
      <patternFill patternType="solid">
        <fgColor rgb="FFC6EFCE"/>
        <bgColor rgb="FFD9E1F2"/>
      </patternFill>
    </fill>
    <fill>
      <patternFill patternType="solid">
        <fgColor rgb="FFFFEB9C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3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3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3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3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9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105"/>
  </cols>
  <sheetData>
    <row r="1" customFormat="false" ht="17.25" hidden="false" customHeight="true" outlineLevel="0" collapsed="false">
      <c r="A1" s="2" t="s">
        <v>0</v>
      </c>
    </row>
    <row r="3" customFormat="false" ht="15" hidden="false" customHeight="true" outlineLevel="0" collapsed="false">
      <c r="A3" s="3"/>
      <c r="B3" s="4"/>
    </row>
    <row r="4" customFormat="false" ht="15" hidden="false" customHeight="true" outlineLevel="0" collapsed="false">
      <c r="A4" s="3" t="s">
        <v>1</v>
      </c>
      <c r="B4" s="4" t="s">
        <v>2</v>
      </c>
    </row>
    <row r="5" customFormat="false" ht="15" hidden="false" customHeight="true" outlineLevel="0" collapsed="false">
      <c r="A5" s="3"/>
      <c r="B5" s="4" t="s">
        <v>3</v>
      </c>
    </row>
    <row r="6" customFormat="false" ht="15" hidden="false" customHeight="true" outlineLevel="0" collapsed="false">
      <c r="A6" s="3" t="s">
        <v>4</v>
      </c>
      <c r="B6" s="4" t="s">
        <v>5</v>
      </c>
    </row>
    <row r="7" customFormat="false" ht="15" hidden="false" customHeight="true" outlineLevel="0" collapsed="false">
      <c r="A7" s="3"/>
      <c r="B7" s="4" t="s">
        <v>6</v>
      </c>
    </row>
    <row r="8" customFormat="false" ht="15" hidden="false" customHeight="true" outlineLevel="0" collapsed="false">
      <c r="A8" s="3" t="s">
        <v>7</v>
      </c>
      <c r="B8" s="4" t="s">
        <v>8</v>
      </c>
    </row>
    <row r="9" customFormat="false" ht="15" hidden="false" customHeight="true" outlineLevel="0" collapsed="false">
      <c r="A9" s="3"/>
      <c r="B9" s="4"/>
    </row>
    <row r="10" customFormat="false" ht="15" hidden="false" customHeight="true" outlineLevel="0" collapsed="false">
      <c r="A10" s="3" t="s">
        <v>9</v>
      </c>
      <c r="B10" s="4" t="s">
        <v>10</v>
      </c>
    </row>
    <row r="11" customFormat="false" ht="15" hidden="false" customHeight="true" outlineLevel="0" collapsed="false">
      <c r="A11" s="3"/>
      <c r="B11" s="4" t="s">
        <v>11</v>
      </c>
    </row>
    <row r="12" customFormat="false" ht="15" hidden="false" customHeight="true" outlineLevel="0" collapsed="false">
      <c r="A12" s="3"/>
      <c r="B12" s="4" t="s">
        <v>12</v>
      </c>
    </row>
    <row r="13" customFormat="false" ht="15" hidden="false" customHeight="true" outlineLevel="0" collapsed="false">
      <c r="A13" s="3"/>
      <c r="B13" s="4" t="s">
        <v>13</v>
      </c>
    </row>
    <row r="14" customFormat="false" ht="15" hidden="false" customHeight="true" outlineLevel="0" collapsed="false">
      <c r="A14" s="3"/>
      <c r="B14" s="4"/>
    </row>
    <row r="15" customFormat="false" ht="15" hidden="false" customHeight="true" outlineLevel="0" collapsed="false">
      <c r="A15" s="3" t="s">
        <v>14</v>
      </c>
      <c r="B15" s="4" t="s">
        <v>15</v>
      </c>
    </row>
    <row r="16" customFormat="false" ht="15" hidden="false" customHeight="true" outlineLevel="0" collapsed="false">
      <c r="A16" s="3"/>
      <c r="B16" s="4" t="s">
        <v>16</v>
      </c>
    </row>
    <row r="17" customFormat="false" ht="15" hidden="false" customHeight="true" outlineLevel="0" collapsed="false">
      <c r="A17" s="3"/>
      <c r="B17" s="4" t="s">
        <v>17</v>
      </c>
    </row>
    <row r="18" customFormat="false" ht="15" hidden="false" customHeight="true" outlineLevel="0" collapsed="false">
      <c r="A18" s="3"/>
      <c r="B18" s="4" t="s">
        <v>18</v>
      </c>
    </row>
    <row r="19" customFormat="false" ht="15" hidden="false" customHeight="true" outlineLevel="0" collapsed="false">
      <c r="A19" s="3"/>
      <c r="B19" s="4" t="s">
        <v>19</v>
      </c>
    </row>
    <row r="20" customFormat="false" ht="15" hidden="false" customHeight="true" outlineLevel="0" collapsed="false">
      <c r="A20" s="3"/>
      <c r="B20" s="4"/>
    </row>
    <row r="21" customFormat="false" ht="15" hidden="false" customHeight="true" outlineLevel="0" collapsed="false">
      <c r="A21" s="3" t="s">
        <v>20</v>
      </c>
      <c r="B21" s="4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0"/>
    <col collapsed="false" customWidth="true" hidden="false" outlineLevel="0" max="3" min="3" style="1" width="12"/>
    <col collapsed="false" customWidth="true" hidden="false" outlineLevel="0" max="4" min="4" style="1" width="10"/>
    <col collapsed="false" customWidth="true" hidden="false" outlineLevel="0" max="6" min="5" style="1" width="15"/>
    <col collapsed="false" customWidth="true" hidden="false" outlineLevel="0" max="7" min="7" style="1" width="10"/>
    <col collapsed="false" customWidth="true" hidden="false" outlineLevel="0" max="8" min="8" style="1" width="15"/>
    <col collapsed="false" customWidth="true" hidden="false" outlineLevel="0" max="9" min="9" style="1" width="18"/>
    <col collapsed="false" customWidth="true" hidden="false" outlineLevel="0" max="10" min="10" style="1" width="16"/>
    <col collapsed="false" customWidth="true" hidden="false" outlineLevel="0" max="11" min="11" style="1" width="12"/>
  </cols>
  <sheetData>
    <row r="1" customFormat="false" ht="17.25" hidden="false" customHeight="true" outlineLevel="0" collapsed="false">
      <c r="A1" s="2" t="s">
        <v>22</v>
      </c>
    </row>
    <row r="3" customFormat="false" ht="15" hidden="false" customHeight="true" outlineLevel="0" collapsed="false">
      <c r="A3" s="5" t="s">
        <v>23</v>
      </c>
      <c r="B3" s="5" t="s">
        <v>24</v>
      </c>
      <c r="C3" s="5" t="s">
        <v>25</v>
      </c>
      <c r="D3" s="5" t="s">
        <v>26</v>
      </c>
      <c r="E3" s="5" t="s">
        <v>27</v>
      </c>
      <c r="F3" s="5" t="s">
        <v>28</v>
      </c>
      <c r="G3" s="5" t="s">
        <v>29</v>
      </c>
      <c r="H3" s="5" t="s">
        <v>30</v>
      </c>
      <c r="I3" s="5" t="s">
        <v>31</v>
      </c>
      <c r="J3" s="5" t="s">
        <v>32</v>
      </c>
      <c r="K3" s="5" t="s">
        <v>33</v>
      </c>
    </row>
    <row r="4" customFormat="false" ht="15" hidden="false" customHeight="true" outlineLevel="0" collapsed="false">
      <c r="A4" s="6" t="s">
        <v>34</v>
      </c>
      <c r="B4" s="6" t="n">
        <v>17236</v>
      </c>
      <c r="C4" s="7" t="n">
        <f aca="false">B4/SUM($B$4:$B$6)</f>
        <v>0.3475</v>
      </c>
      <c r="D4" s="7" t="n">
        <v>0.1003</v>
      </c>
      <c r="E4" s="8" t="n">
        <v>15043</v>
      </c>
      <c r="F4" s="9" t="n">
        <v>3.2</v>
      </c>
      <c r="G4" s="7" t="n">
        <v>0.2918</v>
      </c>
      <c r="H4" s="10" t="n">
        <v>-912</v>
      </c>
      <c r="I4" s="10" t="n">
        <f aca="false">B4*H4</f>
        <v>-15719232</v>
      </c>
      <c r="J4" s="11" t="n">
        <f aca="false">I4/10000000</f>
        <v>-1.5719232</v>
      </c>
      <c r="K4" s="7" t="n">
        <f aca="false">I4/SUM($I$4:$I$6)</f>
        <v>-0.0331879071781949</v>
      </c>
    </row>
    <row r="5" customFormat="false" ht="15" hidden="false" customHeight="true" outlineLevel="0" collapsed="false">
      <c r="A5" s="12" t="s">
        <v>35</v>
      </c>
      <c r="B5" s="12" t="n">
        <v>22345</v>
      </c>
      <c r="C5" s="13" t="n">
        <f aca="false">B5/SUM($B$4:$B$6)</f>
        <v>0.450504032258065</v>
      </c>
      <c r="D5" s="13" t="n">
        <v>0.0695</v>
      </c>
      <c r="E5" s="14" t="n">
        <v>141957</v>
      </c>
      <c r="F5" s="15" t="n">
        <v>19.4</v>
      </c>
      <c r="G5" s="13" t="n">
        <v>0.2294</v>
      </c>
      <c r="H5" s="16" t="n">
        <v>5322</v>
      </c>
      <c r="I5" s="16" t="n">
        <f aca="false">B5*H5</f>
        <v>118920090</v>
      </c>
      <c r="J5" s="17" t="n">
        <f aca="false">I5/10000000</f>
        <v>11.892009</v>
      </c>
      <c r="K5" s="13" t="n">
        <f aca="false">I5/SUM($I$4:$I$6)</f>
        <v>0.251075173936143</v>
      </c>
    </row>
    <row r="6" customFormat="false" ht="15" hidden="false" customHeight="true" outlineLevel="0" collapsed="false">
      <c r="A6" s="12" t="s">
        <v>36</v>
      </c>
      <c r="B6" s="12" t="n">
        <v>10019</v>
      </c>
      <c r="C6" s="13" t="n">
        <f aca="false">B6/SUM($B$4:$B$6)</f>
        <v>0.201995967741935</v>
      </c>
      <c r="D6" s="13" t="n">
        <v>0.0519</v>
      </c>
      <c r="E6" s="14" t="n">
        <v>1052501</v>
      </c>
      <c r="F6" s="15" t="n">
        <v>25.2</v>
      </c>
      <c r="G6" s="13" t="n">
        <v>0.1916</v>
      </c>
      <c r="H6" s="16" t="n">
        <v>36974</v>
      </c>
      <c r="I6" s="16" t="n">
        <f aca="false">B6*H6</f>
        <v>370442506</v>
      </c>
      <c r="J6" s="17" t="n">
        <f aca="false">I6/10000000</f>
        <v>37.0442506</v>
      </c>
      <c r="K6" s="13" t="n">
        <f aca="false">I6/SUM($I$4:$I$6)</f>
        <v>0.782112733242052</v>
      </c>
    </row>
    <row r="7" customFormat="false" ht="15" hidden="false" customHeight="true" outlineLevel="0" collapsed="false">
      <c r="A7" s="18" t="s">
        <v>37</v>
      </c>
      <c r="B7" s="18" t="n">
        <f aca="false">SUM(B4:B6)</f>
        <v>49600</v>
      </c>
      <c r="C7" s="19" t="n">
        <f aca="false">SUM(C4:C6)</f>
        <v>1</v>
      </c>
      <c r="D7" s="19" t="n">
        <f aca="false">SUMPRODUCT(B4:B6,D4:D6)/B7</f>
        <v>0.0766478709677419</v>
      </c>
      <c r="E7" s="18"/>
      <c r="F7" s="18"/>
      <c r="G7" s="18"/>
      <c r="H7" s="20" t="n">
        <f aca="false">I7/B7</f>
        <v>9549.26137096774</v>
      </c>
      <c r="I7" s="20" t="n">
        <f aca="false">SUM(I4:I6)</f>
        <v>473643364</v>
      </c>
      <c r="J7" s="21" t="n">
        <f aca="false">SUM(J4:J6)</f>
        <v>47.3643364</v>
      </c>
      <c r="K7" s="19" t="n">
        <f aca="false">SUM(K4:K6)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2"/>
    <col collapsed="false" customWidth="true" hidden="false" outlineLevel="0" max="3" min="3" style="1" width="10"/>
    <col collapsed="false" customWidth="true" hidden="false" outlineLevel="0" max="4" min="4" style="1" width="15"/>
    <col collapsed="false" customWidth="true" hidden="false" outlineLevel="0" max="5" min="5" style="1" width="10"/>
    <col collapsed="false" customWidth="true" hidden="false" outlineLevel="0" max="6" min="6" style="1" width="15"/>
    <col collapsed="false" customWidth="true" hidden="false" outlineLevel="0" max="7" min="7" style="1" width="10"/>
    <col collapsed="false" customWidth="true" hidden="false" outlineLevel="0" max="8" min="8" style="1" width="12"/>
    <col collapsed="false" customWidth="true" hidden="false" outlineLevel="0" max="9" min="9" style="1" width="11"/>
    <col collapsed="false" customWidth="true" hidden="false" outlineLevel="0" max="10" min="10" style="1" width="16"/>
    <col collapsed="false" customWidth="true" hidden="false" outlineLevel="0" max="11" min="11" style="1" width="9"/>
  </cols>
  <sheetData>
    <row r="1" customFormat="false" ht="17.25" hidden="false" customHeight="true" outlineLevel="0" collapsed="false">
      <c r="A1" s="2" t="s">
        <v>38</v>
      </c>
    </row>
    <row r="3" customFormat="false" ht="15" hidden="false" customHeight="true" outlineLevel="0" collapsed="false">
      <c r="A3" s="5" t="s">
        <v>23</v>
      </c>
      <c r="B3" s="5" t="s">
        <v>39</v>
      </c>
      <c r="C3" s="5" t="s">
        <v>24</v>
      </c>
      <c r="D3" s="5" t="s">
        <v>40</v>
      </c>
      <c r="E3" s="5" t="s">
        <v>26</v>
      </c>
      <c r="F3" s="5" t="s">
        <v>30</v>
      </c>
      <c r="G3" s="5" t="s">
        <v>41</v>
      </c>
      <c r="H3" s="5" t="s">
        <v>42</v>
      </c>
      <c r="I3" s="5" t="s">
        <v>43</v>
      </c>
      <c r="J3" s="5" t="s">
        <v>32</v>
      </c>
      <c r="K3" s="5" t="s">
        <v>44</v>
      </c>
    </row>
    <row r="4" customFormat="false" ht="15" hidden="false" customHeight="true" outlineLevel="0" collapsed="false">
      <c r="A4" s="6" t="s">
        <v>34</v>
      </c>
      <c r="B4" s="6" t="s">
        <v>45</v>
      </c>
      <c r="C4" s="6" t="n">
        <v>10994</v>
      </c>
      <c r="D4" s="22" t="n">
        <f aca="false">C4/SUMIF($A$4:$A$100,A4,$C$4:$C$100)</f>
        <v>0.637851009514969</v>
      </c>
      <c r="E4" s="22" t="n">
        <v>0.0949</v>
      </c>
      <c r="F4" s="23" t="n">
        <v>-948</v>
      </c>
      <c r="G4" s="6" t="n">
        <v>2.5</v>
      </c>
      <c r="H4" s="6" t="n">
        <v>2.6</v>
      </c>
      <c r="I4" s="22" t="n">
        <f aca="false">G4/H4</f>
        <v>0.961538461538462</v>
      </c>
      <c r="J4" s="24" t="n">
        <f aca="false">C4*F4/10000000</f>
        <v>-1.0422312</v>
      </c>
      <c r="K4" s="6" t="str">
        <f aca="false">IF(F4&lt;0,"LOSS","")</f>
        <v>LOSS</v>
      </c>
    </row>
    <row r="5" customFormat="false" ht="15" hidden="false" customHeight="true" outlineLevel="0" collapsed="false">
      <c r="A5" s="6" t="s">
        <v>34</v>
      </c>
      <c r="B5" s="6" t="s">
        <v>46</v>
      </c>
      <c r="C5" s="6" t="n">
        <v>6242</v>
      </c>
      <c r="D5" s="22" t="n">
        <f aca="false">C5/SUMIF($A$4:$A$100,A5,$C$4:$C$100)</f>
        <v>0.362148990485031</v>
      </c>
      <c r="E5" s="22" t="n">
        <v>0.1097</v>
      </c>
      <c r="F5" s="23" t="n">
        <v>-849</v>
      </c>
      <c r="G5" s="6" t="n">
        <v>4</v>
      </c>
      <c r="H5" s="6" t="n">
        <v>4.4</v>
      </c>
      <c r="I5" s="22" t="n">
        <f aca="false">G5/H5</f>
        <v>0.909090909090909</v>
      </c>
      <c r="J5" s="24" t="n">
        <f aca="false">C5*F5/10000000</f>
        <v>-0.5299458</v>
      </c>
      <c r="K5" s="6" t="str">
        <f aca="false">IF(F5&lt;0,"LOSS","")</f>
        <v>LOSS</v>
      </c>
    </row>
    <row r="6" customFormat="false" ht="15" hidden="false" customHeight="true" outlineLevel="0" collapsed="false">
      <c r="A6" s="12" t="s">
        <v>35</v>
      </c>
      <c r="B6" s="12" t="s">
        <v>47</v>
      </c>
      <c r="C6" s="12" t="n">
        <v>2852</v>
      </c>
      <c r="D6" s="25" t="n">
        <f aca="false">C6/SUMIF($A$4:$A$100,A6,$C$4:$C$100)</f>
        <v>0.12763481763258</v>
      </c>
      <c r="E6" s="25" t="n">
        <v>0.0582</v>
      </c>
      <c r="F6" s="26" t="n">
        <v>3404</v>
      </c>
      <c r="G6" s="12" t="n">
        <v>7.6</v>
      </c>
      <c r="H6" s="12" t="n">
        <v>10.3</v>
      </c>
      <c r="I6" s="25" t="n">
        <f aca="false">G6/H6</f>
        <v>0.737864077669903</v>
      </c>
      <c r="J6" s="27" t="n">
        <f aca="false">C6*F6/10000000</f>
        <v>0.9708208</v>
      </c>
      <c r="K6" s="12" t="str">
        <f aca="false">IF(F6&lt;0,"LOSS","")</f>
        <v/>
      </c>
    </row>
    <row r="7" customFormat="false" ht="15" hidden="false" customHeight="true" outlineLevel="0" collapsed="false">
      <c r="A7" s="12" t="s">
        <v>35</v>
      </c>
      <c r="B7" s="12" t="s">
        <v>48</v>
      </c>
      <c r="C7" s="12" t="n">
        <v>14833</v>
      </c>
      <c r="D7" s="25" t="n">
        <f aca="false">C7/SUMIF($A$4:$A$100,A7,$C$4:$C$100)</f>
        <v>0.66381740881629</v>
      </c>
      <c r="E7" s="25" t="n">
        <v>0.0758</v>
      </c>
      <c r="F7" s="26" t="n">
        <v>5194</v>
      </c>
      <c r="G7" s="12" t="n">
        <v>10.2</v>
      </c>
      <c r="H7" s="12" t="n">
        <v>18.5</v>
      </c>
      <c r="I7" s="25" t="n">
        <f aca="false">G7/H7</f>
        <v>0.551351351351351</v>
      </c>
      <c r="J7" s="27" t="n">
        <f aca="false">C7*F7/10000000</f>
        <v>7.7042602</v>
      </c>
      <c r="K7" s="12" t="str">
        <f aca="false">IF(F7&lt;0,"LOSS","")</f>
        <v/>
      </c>
    </row>
    <row r="8" customFormat="false" ht="15" hidden="false" customHeight="true" outlineLevel="0" collapsed="false">
      <c r="A8" s="12" t="s">
        <v>35</v>
      </c>
      <c r="B8" s="12" t="s">
        <v>49</v>
      </c>
      <c r="C8" s="12" t="n">
        <v>4660</v>
      </c>
      <c r="D8" s="25" t="n">
        <f aca="false">C8/SUMIF($A$4:$A$100,A8,$C$4:$C$100)</f>
        <v>0.20854777355113</v>
      </c>
      <c r="E8" s="25" t="n">
        <v>0.0567</v>
      </c>
      <c r="F8" s="26" t="n">
        <v>6903</v>
      </c>
      <c r="G8" s="12" t="n">
        <v>10.7</v>
      </c>
      <c r="H8" s="12" t="n">
        <v>28.1</v>
      </c>
      <c r="I8" s="25" t="n">
        <f aca="false">G8/H8</f>
        <v>0.380782918149466</v>
      </c>
      <c r="J8" s="27" t="n">
        <f aca="false">C8*F8/10000000</f>
        <v>3.216798</v>
      </c>
      <c r="K8" s="12" t="str">
        <f aca="false">IF(F8&lt;0,"LOSS","")</f>
        <v/>
      </c>
    </row>
    <row r="9" customFormat="false" ht="15" hidden="false" customHeight="true" outlineLevel="0" collapsed="false">
      <c r="A9" s="12" t="s">
        <v>36</v>
      </c>
      <c r="B9" s="12" t="s">
        <v>50</v>
      </c>
      <c r="C9" s="12" t="n">
        <v>592</v>
      </c>
      <c r="D9" s="25" t="n">
        <f aca="false">C9/SUMIF($A$4:$A$100,A9,$C$4:$C$100)</f>
        <v>0.0590877333067172</v>
      </c>
      <c r="E9" s="25" t="n">
        <v>0.0355</v>
      </c>
      <c r="F9" s="26" t="n">
        <v>28131</v>
      </c>
      <c r="G9" s="12" t="n">
        <v>7.9</v>
      </c>
      <c r="H9" s="12" t="n">
        <v>10.2</v>
      </c>
      <c r="I9" s="25" t="n">
        <f aca="false">G9/H9</f>
        <v>0.774509803921569</v>
      </c>
      <c r="J9" s="27" t="n">
        <f aca="false">C9*F9/10000000</f>
        <v>1.6653552</v>
      </c>
      <c r="K9" s="12" t="str">
        <f aca="false">IF(F9&lt;0,"LOSS","")</f>
        <v/>
      </c>
    </row>
    <row r="10" customFormat="false" ht="15" hidden="false" customHeight="true" outlineLevel="0" collapsed="false">
      <c r="A10" s="12" t="s">
        <v>36</v>
      </c>
      <c r="B10" s="12" t="s">
        <v>48</v>
      </c>
      <c r="C10" s="12" t="n">
        <v>4314</v>
      </c>
      <c r="D10" s="25" t="n">
        <f aca="false">C10/SUMIF($A$4:$A$100,A10,$C$4:$C$100)</f>
        <v>0.430581894400639</v>
      </c>
      <c r="E10" s="25" t="n">
        <v>0.054</v>
      </c>
      <c r="F10" s="26" t="n">
        <v>34046</v>
      </c>
      <c r="G10" s="12" t="n">
        <v>10.5</v>
      </c>
      <c r="H10" s="12" t="n">
        <v>19.5</v>
      </c>
      <c r="I10" s="25" t="n">
        <f aca="false">G10/H10</f>
        <v>0.538461538461538</v>
      </c>
      <c r="J10" s="27" t="n">
        <f aca="false">C10*F10/10000000</f>
        <v>14.6874444</v>
      </c>
      <c r="K10" s="12" t="str">
        <f aca="false">IF(F10&lt;0,"LOSS","")</f>
        <v/>
      </c>
    </row>
    <row r="11" customFormat="false" ht="15" hidden="false" customHeight="true" outlineLevel="0" collapsed="false">
      <c r="A11" s="12" t="s">
        <v>36</v>
      </c>
      <c r="B11" s="12" t="s">
        <v>51</v>
      </c>
      <c r="C11" s="12" t="n">
        <v>5113</v>
      </c>
      <c r="D11" s="25" t="n">
        <f aca="false">C11/SUMIF($A$4:$A$100,A11,$C$4:$C$100)</f>
        <v>0.510330372292644</v>
      </c>
      <c r="E11" s="25" t="n">
        <v>0.052</v>
      </c>
      <c r="F11" s="26" t="n">
        <v>40469</v>
      </c>
      <c r="G11" s="12" t="n">
        <v>11.1</v>
      </c>
      <c r="H11" s="12" t="n">
        <v>31.8</v>
      </c>
      <c r="I11" s="25" t="n">
        <f aca="false">G11/H11</f>
        <v>0.349056603773585</v>
      </c>
      <c r="J11" s="27" t="n">
        <f aca="false">C11*F11/10000000</f>
        <v>20.6917997</v>
      </c>
      <c r="K11" s="12" t="str">
        <f aca="false">IF(F11&lt;0,"LOSS","")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2"/>
    <col collapsed="false" customWidth="true" hidden="false" outlineLevel="0" max="3" min="3" style="1" width="10"/>
    <col collapsed="false" customWidth="true" hidden="false" outlineLevel="0" max="4" min="4" style="1" width="15"/>
    <col collapsed="false" customWidth="true" hidden="false" outlineLevel="0" max="5" min="5" style="1" width="10"/>
    <col collapsed="false" customWidth="true" hidden="false" outlineLevel="0" max="6" min="6" style="1" width="15"/>
    <col collapsed="false" customWidth="true" hidden="false" outlineLevel="0" max="7" min="7" style="1" width="10"/>
    <col collapsed="false" customWidth="true" hidden="false" outlineLevel="0" max="8" min="8" style="1" width="12"/>
    <col collapsed="false" customWidth="true" hidden="false" outlineLevel="0" max="9" min="9" style="1" width="11"/>
    <col collapsed="false" customWidth="true" hidden="false" outlineLevel="0" max="10" min="10" style="1" width="16"/>
    <col collapsed="false" customWidth="true" hidden="false" outlineLevel="0" max="11" min="11" style="1" width="9"/>
  </cols>
  <sheetData>
    <row r="1" customFormat="false" ht="17.25" hidden="false" customHeight="true" outlineLevel="0" collapsed="false">
      <c r="A1" s="2" t="s">
        <v>52</v>
      </c>
    </row>
    <row r="3" customFormat="false" ht="15" hidden="false" customHeight="true" outlineLevel="0" collapsed="false">
      <c r="A3" s="5" t="s">
        <v>23</v>
      </c>
      <c r="B3" s="5" t="s">
        <v>39</v>
      </c>
      <c r="C3" s="5" t="s">
        <v>24</v>
      </c>
      <c r="D3" s="5" t="s">
        <v>40</v>
      </c>
      <c r="E3" s="5" t="s">
        <v>26</v>
      </c>
      <c r="F3" s="5" t="s">
        <v>30</v>
      </c>
      <c r="G3" s="5" t="s">
        <v>41</v>
      </c>
      <c r="H3" s="5" t="s">
        <v>42</v>
      </c>
      <c r="I3" s="5" t="s">
        <v>43</v>
      </c>
      <c r="J3" s="5" t="s">
        <v>32</v>
      </c>
      <c r="K3" s="5" t="s">
        <v>44</v>
      </c>
    </row>
    <row r="4" customFormat="false" ht="15" hidden="false" customHeight="true" outlineLevel="0" collapsed="false">
      <c r="A4" s="6" t="s">
        <v>34</v>
      </c>
      <c r="B4" s="6" t="s">
        <v>53</v>
      </c>
      <c r="C4" s="6" t="n">
        <v>7828</v>
      </c>
      <c r="D4" s="22" t="n">
        <f aca="false">C4/SUMIF($A$4:$A$100,A4,$C$4:$C$100)</f>
        <v>0.454165699698306</v>
      </c>
      <c r="E4" s="22" t="n">
        <v>0.1085</v>
      </c>
      <c r="F4" s="23" t="n">
        <v>-917</v>
      </c>
      <c r="G4" s="6" t="n">
        <v>3</v>
      </c>
      <c r="H4" s="6" t="n">
        <v>3.2</v>
      </c>
      <c r="I4" s="22" t="n">
        <f aca="false">G4/H4</f>
        <v>0.9375</v>
      </c>
      <c r="J4" s="24" t="n">
        <f aca="false">C4*F4/10000000</f>
        <v>-0.7178276</v>
      </c>
      <c r="K4" s="6" t="str">
        <f aca="false">IF(F4&lt;0,"LOSS","")</f>
        <v>LOSS</v>
      </c>
    </row>
    <row r="5" customFormat="false" ht="15" hidden="false" customHeight="true" outlineLevel="0" collapsed="false">
      <c r="A5" s="6" t="s">
        <v>34</v>
      </c>
      <c r="B5" s="6" t="s">
        <v>54</v>
      </c>
      <c r="C5" s="6" t="n">
        <v>6436</v>
      </c>
      <c r="D5" s="22" t="n">
        <f aca="false">C5/SUMIF($A$4:$A$100,A5,$C$4:$C$100)</f>
        <v>0.373404502204688</v>
      </c>
      <c r="E5" s="22" t="n">
        <v>0.0999</v>
      </c>
      <c r="F5" s="23" t="n">
        <v>-955</v>
      </c>
      <c r="G5" s="6" t="n">
        <v>3.1</v>
      </c>
      <c r="H5" s="6" t="n">
        <v>3.3</v>
      </c>
      <c r="I5" s="22" t="n">
        <f aca="false">G5/H5</f>
        <v>0.939393939393939</v>
      </c>
      <c r="J5" s="24" t="n">
        <f aca="false">C5*F5/10000000</f>
        <v>-0.614638</v>
      </c>
      <c r="K5" s="6" t="str">
        <f aca="false">IF(F5&lt;0,"LOSS","")</f>
        <v>LOSS</v>
      </c>
    </row>
    <row r="6" customFormat="false" ht="15" hidden="false" customHeight="true" outlineLevel="0" collapsed="false">
      <c r="A6" s="6" t="s">
        <v>34</v>
      </c>
      <c r="B6" s="6" t="s">
        <v>55</v>
      </c>
      <c r="C6" s="6" t="n">
        <v>2972</v>
      </c>
      <c r="D6" s="22" t="n">
        <f aca="false">C6/SUMIF($A$4:$A$100,A6,$C$4:$C$100)</f>
        <v>0.172429798097006</v>
      </c>
      <c r="E6" s="22" t="n">
        <v>0.0794</v>
      </c>
      <c r="F6" s="23" t="n">
        <v>-803</v>
      </c>
      <c r="G6" s="6" t="n">
        <v>3</v>
      </c>
      <c r="H6" s="6" t="n">
        <v>3.2</v>
      </c>
      <c r="I6" s="22" t="n">
        <f aca="false">G6/H6</f>
        <v>0.9375</v>
      </c>
      <c r="J6" s="24" t="n">
        <f aca="false">C6*F6/10000000</f>
        <v>-0.2386516</v>
      </c>
      <c r="K6" s="6" t="str">
        <f aca="false">IF(F6&lt;0,"LOSS","")</f>
        <v>LOSS</v>
      </c>
    </row>
    <row r="7" customFormat="false" ht="15" hidden="false" customHeight="true" outlineLevel="0" collapsed="false">
      <c r="A7" s="12" t="s">
        <v>35</v>
      </c>
      <c r="B7" s="12" t="s">
        <v>56</v>
      </c>
      <c r="C7" s="12" t="n">
        <v>2841</v>
      </c>
      <c r="D7" s="25" t="n">
        <f aca="false">C7/SUMIF($A$4:$A$100,A7,$C$4:$C$100)</f>
        <v>0.127142537480421</v>
      </c>
      <c r="E7" s="25" t="n">
        <v>0.0848</v>
      </c>
      <c r="F7" s="26" t="n">
        <v>168</v>
      </c>
      <c r="G7" s="12" t="n">
        <v>9.8</v>
      </c>
      <c r="H7" s="12" t="n">
        <v>19.1</v>
      </c>
      <c r="I7" s="25" t="n">
        <f aca="false">G7/H7</f>
        <v>0.513089005235602</v>
      </c>
      <c r="J7" s="27" t="n">
        <f aca="false">C7*F7/10000000</f>
        <v>0.0477288</v>
      </c>
      <c r="K7" s="12" t="str">
        <f aca="false">IF(F7&lt;0,"LOSS","")</f>
        <v/>
      </c>
    </row>
    <row r="8" customFormat="false" ht="15" hidden="false" customHeight="true" outlineLevel="0" collapsed="false">
      <c r="A8" s="12" t="s">
        <v>35</v>
      </c>
      <c r="B8" s="12" t="s">
        <v>57</v>
      </c>
      <c r="C8" s="12" t="n">
        <v>11888</v>
      </c>
      <c r="D8" s="25" t="n">
        <f aca="false">C8/SUMIF($A$4:$A$100,A8,$C$4:$C$100)</f>
        <v>0.532020586260909</v>
      </c>
      <c r="E8" s="25" t="n">
        <v>0.0719</v>
      </c>
      <c r="F8" s="26" t="n">
        <v>3014</v>
      </c>
      <c r="G8" s="12" t="n">
        <v>10</v>
      </c>
      <c r="H8" s="12" t="n">
        <v>19.5</v>
      </c>
      <c r="I8" s="25" t="n">
        <f aca="false">G8/H8</f>
        <v>0.512820512820513</v>
      </c>
      <c r="J8" s="27" t="n">
        <f aca="false">C8*F8/10000000</f>
        <v>3.5830432</v>
      </c>
      <c r="K8" s="12" t="str">
        <f aca="false">IF(F8&lt;0,"LOSS","")</f>
        <v/>
      </c>
    </row>
    <row r="9" customFormat="false" ht="15" hidden="false" customHeight="true" outlineLevel="0" collapsed="false">
      <c r="A9" s="12" t="s">
        <v>35</v>
      </c>
      <c r="B9" s="12" t="s">
        <v>58</v>
      </c>
      <c r="C9" s="12" t="n">
        <v>7616</v>
      </c>
      <c r="D9" s="25" t="n">
        <f aca="false">C9/SUMIF($A$4:$A$100,A9,$C$4:$C$100)</f>
        <v>0.340836876258671</v>
      </c>
      <c r="E9" s="25" t="n">
        <v>0.0601</v>
      </c>
      <c r="F9" s="26" t="n">
        <v>10847</v>
      </c>
      <c r="G9" s="12" t="n">
        <v>9.9</v>
      </c>
      <c r="H9" s="12" t="n">
        <v>19.6</v>
      </c>
      <c r="I9" s="25" t="n">
        <f aca="false">G9/H9</f>
        <v>0.505102040816327</v>
      </c>
      <c r="J9" s="27" t="n">
        <f aca="false">C9*F9/10000000</f>
        <v>8.2610752</v>
      </c>
      <c r="K9" s="12" t="str">
        <f aca="false">IF(F9&lt;0,"LOSS","")</f>
        <v/>
      </c>
    </row>
    <row r="10" customFormat="false" ht="15" hidden="false" customHeight="true" outlineLevel="0" collapsed="false">
      <c r="A10" s="12" t="s">
        <v>36</v>
      </c>
      <c r="B10" s="12" t="s">
        <v>59</v>
      </c>
      <c r="C10" s="12" t="n">
        <v>1007</v>
      </c>
      <c r="D10" s="25" t="n">
        <f aca="false">C10/SUMIF($A$4:$A$100,A10,$C$4:$C$100)</f>
        <v>0.100509032837609</v>
      </c>
      <c r="E10" s="25" t="n">
        <v>0.0536</v>
      </c>
      <c r="F10" s="26" t="n">
        <v>7073</v>
      </c>
      <c r="G10" s="12" t="n">
        <v>10.6</v>
      </c>
      <c r="H10" s="12" t="n">
        <v>24.8</v>
      </c>
      <c r="I10" s="25" t="n">
        <f aca="false">G10/H10</f>
        <v>0.42741935483871</v>
      </c>
      <c r="J10" s="27" t="n">
        <f aca="false">C10*F10/10000000</f>
        <v>0.7122511</v>
      </c>
      <c r="K10" s="12" t="str">
        <f aca="false">IF(F10&lt;0,"LOSS","")</f>
        <v/>
      </c>
    </row>
    <row r="11" customFormat="false" ht="15" hidden="false" customHeight="true" outlineLevel="0" collapsed="false">
      <c r="A11" s="12" t="s">
        <v>36</v>
      </c>
      <c r="B11" s="12" t="s">
        <v>60</v>
      </c>
      <c r="C11" s="12" t="n">
        <v>5330</v>
      </c>
      <c r="D11" s="25" t="n">
        <f aca="false">C11/SUMIF($A$4:$A$100,A11,$C$4:$C$100)</f>
        <v>0.531989220481086</v>
      </c>
      <c r="E11" s="25" t="n">
        <v>0.0518</v>
      </c>
      <c r="F11" s="26" t="n">
        <v>20082</v>
      </c>
      <c r="G11" s="12" t="n">
        <v>10.6</v>
      </c>
      <c r="H11" s="12" t="n">
        <v>25.3</v>
      </c>
      <c r="I11" s="25" t="n">
        <f aca="false">G11/H11</f>
        <v>0.41897233201581</v>
      </c>
      <c r="J11" s="27" t="n">
        <f aca="false">C11*F11/10000000</f>
        <v>10.703706</v>
      </c>
      <c r="K11" s="12" t="str">
        <f aca="false">IF(F11&lt;0,"LOSS","")</f>
        <v/>
      </c>
    </row>
    <row r="12" customFormat="false" ht="15" hidden="false" customHeight="true" outlineLevel="0" collapsed="false">
      <c r="A12" s="12" t="s">
        <v>36</v>
      </c>
      <c r="B12" s="12" t="s">
        <v>61</v>
      </c>
      <c r="C12" s="12" t="n">
        <v>3682</v>
      </c>
      <c r="D12" s="25" t="n">
        <f aca="false">C12/SUMIF($A$4:$A$100,A12,$C$4:$C$100)</f>
        <v>0.367501746681306</v>
      </c>
      <c r="E12" s="25" t="n">
        <v>0.0516</v>
      </c>
      <c r="F12" s="26" t="n">
        <v>69604</v>
      </c>
      <c r="G12" s="12" t="n">
        <v>10.7</v>
      </c>
      <c r="H12" s="12" t="n">
        <v>25.3</v>
      </c>
      <c r="I12" s="25" t="n">
        <f aca="false">G12/H12</f>
        <v>0.422924901185771</v>
      </c>
      <c r="J12" s="27" t="n">
        <f aca="false">C12*F12/10000000</f>
        <v>25.6281928</v>
      </c>
      <c r="K12" s="12" t="str">
        <f aca="false">IF(F12&lt;0,"LOSS","")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5"/>
    <col collapsed="false" customWidth="true" hidden="false" outlineLevel="0" max="3" min="3" style="1" width="12"/>
    <col collapsed="false" customWidth="true" hidden="false" outlineLevel="0" max="5" min="4" style="1" width="16"/>
    <col collapsed="false" customWidth="true" hidden="false" outlineLevel="0" max="6" min="6" style="1" width="40"/>
  </cols>
  <sheetData>
    <row r="1" customFormat="false" ht="17.25" hidden="false" customHeight="true" outlineLevel="0" collapsed="false">
      <c r="A1" s="2" t="s">
        <v>62</v>
      </c>
    </row>
    <row r="3" customFormat="false" ht="15" hidden="false" customHeight="true" outlineLevel="0" collapsed="false">
      <c r="A3" s="5" t="s">
        <v>23</v>
      </c>
      <c r="B3" s="5" t="s">
        <v>63</v>
      </c>
      <c r="C3" s="5" t="s">
        <v>64</v>
      </c>
      <c r="D3" s="5" t="s">
        <v>65</v>
      </c>
      <c r="E3" s="5" t="s">
        <v>66</v>
      </c>
      <c r="F3" s="5" t="s">
        <v>67</v>
      </c>
    </row>
    <row r="4" customFormat="false" ht="15" hidden="false" customHeight="true" outlineLevel="0" collapsed="false">
      <c r="A4" s="28" t="s">
        <v>35</v>
      </c>
      <c r="B4" s="28" t="s">
        <v>48</v>
      </c>
      <c r="C4" s="29" t="n">
        <v>0.076</v>
      </c>
      <c r="D4" s="29" t="n">
        <v>0.045</v>
      </c>
      <c r="E4" s="28" t="n">
        <v>6463</v>
      </c>
      <c r="F4" s="30"/>
    </row>
    <row r="5" customFormat="false" ht="23.25" hidden="false" customHeight="true" outlineLevel="0" collapsed="false">
      <c r="A5" s="28" t="s">
        <v>35</v>
      </c>
      <c r="B5" s="28" t="s">
        <v>49</v>
      </c>
      <c r="C5" s="29" t="n">
        <v>0.057</v>
      </c>
      <c r="D5" s="29" t="n">
        <v>0.035</v>
      </c>
      <c r="E5" s="28" t="n">
        <v>1955</v>
      </c>
      <c r="F5" s="30" t="s">
        <v>68</v>
      </c>
    </row>
    <row r="6" customFormat="false" ht="15" hidden="false" customHeight="true" outlineLevel="0" collapsed="false">
      <c r="A6" s="28" t="s">
        <v>36</v>
      </c>
      <c r="B6" s="28" t="s">
        <v>48</v>
      </c>
      <c r="C6" s="29" t="n">
        <v>0.054</v>
      </c>
      <c r="D6" s="29" t="n">
        <v>0.035</v>
      </c>
      <c r="E6" s="28" t="n">
        <v>1950</v>
      </c>
      <c r="F6" s="30"/>
    </row>
    <row r="7" customFormat="false" ht="15" hidden="false" customHeight="true" outlineLevel="0" collapsed="false">
      <c r="A7" s="28" t="s">
        <v>36</v>
      </c>
      <c r="B7" s="28" t="s">
        <v>51</v>
      </c>
      <c r="C7" s="29" t="n">
        <v>0.052</v>
      </c>
      <c r="D7" s="29" t="n">
        <v>0.03</v>
      </c>
      <c r="E7" s="28" t="n">
        <v>2309</v>
      </c>
      <c r="F7" s="30" t="s">
        <v>69</v>
      </c>
    </row>
    <row r="9" customFormat="false" ht="15" hidden="false" customHeight="true" outlineLevel="0" collapsed="false">
      <c r="A9" s="31" t="s">
        <v>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115"/>
  </cols>
  <sheetData>
    <row r="1" customFormat="false" ht="17.25" hidden="false" customHeight="true" outlineLevel="0" collapsed="false">
      <c r="A1" s="2" t="s">
        <v>71</v>
      </c>
    </row>
    <row r="3" customFormat="false" ht="15" hidden="false" customHeight="true" outlineLevel="0" collapsed="false">
      <c r="A3" s="3"/>
      <c r="B3" s="4"/>
    </row>
    <row r="4" customFormat="false" ht="15" hidden="false" customHeight="true" outlineLevel="0" collapsed="false">
      <c r="A4" s="32" t="s">
        <v>72</v>
      </c>
      <c r="B4" s="33" t="s">
        <v>73</v>
      </c>
    </row>
    <row r="5" customFormat="false" ht="15" hidden="false" customHeight="true" outlineLevel="0" collapsed="false">
      <c r="A5" s="3"/>
      <c r="B5" s="4"/>
    </row>
    <row r="6" customFormat="false" ht="15" hidden="false" customHeight="true" outlineLevel="0" collapsed="false">
      <c r="A6" s="32" t="s">
        <v>74</v>
      </c>
      <c r="B6" s="4" t="s">
        <v>75</v>
      </c>
    </row>
    <row r="7" customFormat="false" ht="15" hidden="false" customHeight="true" outlineLevel="0" collapsed="false">
      <c r="A7" s="32" t="s">
        <v>76</v>
      </c>
      <c r="B7" s="4" t="s">
        <v>77</v>
      </c>
    </row>
    <row r="8" customFormat="false" ht="15" hidden="false" customHeight="true" outlineLevel="0" collapsed="false">
      <c r="A8" s="3"/>
      <c r="B8" s="4" t="s">
        <v>78</v>
      </c>
    </row>
    <row r="9" customFormat="false" ht="15" hidden="false" customHeight="true" outlineLevel="0" collapsed="false">
      <c r="A9" s="32" t="s">
        <v>79</v>
      </c>
      <c r="B9" s="4" t="s">
        <v>80</v>
      </c>
    </row>
    <row r="10" customFormat="false" ht="15" hidden="false" customHeight="true" outlineLevel="0" collapsed="false">
      <c r="A10" s="32" t="s">
        <v>81</v>
      </c>
      <c r="B10" s="4" t="s">
        <v>82</v>
      </c>
    </row>
    <row r="11" customFormat="false" ht="15" hidden="false" customHeight="true" outlineLevel="0" collapsed="false">
      <c r="A11" s="32" t="s">
        <v>83</v>
      </c>
      <c r="B11" s="4" t="s">
        <v>84</v>
      </c>
    </row>
    <row r="12" customFormat="false" ht="15" hidden="false" customHeight="true" outlineLevel="0" collapsed="false">
      <c r="A12" s="3"/>
      <c r="B12" s="4"/>
    </row>
    <row r="13" customFormat="false" ht="15" hidden="false" customHeight="true" outlineLevel="0" collapsed="false">
      <c r="A13" s="32" t="s">
        <v>85</v>
      </c>
      <c r="B13" s="4" t="s">
        <v>86</v>
      </c>
    </row>
    <row r="14" customFormat="false" ht="15" hidden="false" customHeight="true" outlineLevel="0" collapsed="false">
      <c r="A14" s="3"/>
      <c r="B14" s="4"/>
    </row>
    <row r="15" customFormat="false" ht="15" hidden="false" customHeight="true" outlineLevel="0" collapsed="false">
      <c r="A15" s="32" t="s">
        <v>87</v>
      </c>
      <c r="B15" s="4" t="s">
        <v>88</v>
      </c>
    </row>
    <row r="16" customFormat="false" ht="15" hidden="false" customHeight="true" outlineLevel="0" collapsed="false">
      <c r="A16" s="3"/>
      <c r="B16" s="4" t="s">
        <v>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2"/>
    <col collapsed="false" customWidth="true" hidden="false" outlineLevel="0" max="3" min="3" style="1" width="16"/>
    <col collapsed="false" customWidth="true" hidden="false" outlineLevel="0" max="4" min="4" style="1" width="14"/>
    <col collapsed="false" customWidth="true" hidden="false" outlineLevel="0" max="5" min="5" style="1" width="10"/>
    <col collapsed="false" customWidth="true" hidden="false" outlineLevel="0" max="6" min="6" style="1" width="12"/>
    <col collapsed="false" customWidth="true" hidden="false" outlineLevel="0" max="7" min="7" style="1" width="10"/>
  </cols>
  <sheetData>
    <row r="1" customFormat="false" ht="17.25" hidden="false" customHeight="true" outlineLevel="0" collapsed="false">
      <c r="A1" s="2" t="s">
        <v>90</v>
      </c>
    </row>
    <row r="3" customFormat="false" ht="15" hidden="false" customHeight="true" outlineLevel="0" collapsed="false">
      <c r="A3" s="32" t="s">
        <v>91</v>
      </c>
    </row>
    <row r="4" customFormat="false" ht="15" hidden="false" customHeight="true" outlineLevel="0" collapsed="false">
      <c r="A4" s="28" t="s">
        <v>92</v>
      </c>
      <c r="B4" s="34" t="n">
        <v>49600</v>
      </c>
    </row>
    <row r="5" customFormat="false" ht="15" hidden="false" customHeight="true" outlineLevel="0" collapsed="false">
      <c r="A5" s="28" t="s">
        <v>93</v>
      </c>
      <c r="B5" s="34" t="n">
        <v>40000</v>
      </c>
    </row>
    <row r="6" customFormat="false" ht="15" hidden="false" customHeight="true" outlineLevel="0" collapsed="false">
      <c r="A6" s="28" t="s">
        <v>94</v>
      </c>
      <c r="B6" s="35" t="n">
        <v>1.24</v>
      </c>
    </row>
    <row r="7" customFormat="false" ht="15" hidden="false" customHeight="true" outlineLevel="0" collapsed="false">
      <c r="A7" s="28" t="s">
        <v>95</v>
      </c>
      <c r="B7" s="36" t="n">
        <v>1398</v>
      </c>
    </row>
    <row r="8" customFormat="false" ht="15" hidden="false" customHeight="true" outlineLevel="0" collapsed="false">
      <c r="A8" s="28" t="s">
        <v>96</v>
      </c>
      <c r="B8" s="36" t="n">
        <v>651</v>
      </c>
    </row>
    <row r="9" customFormat="false" ht="15" hidden="false" customHeight="true" outlineLevel="0" collapsed="false">
      <c r="A9" s="28" t="s">
        <v>97</v>
      </c>
      <c r="B9" s="37" t="n">
        <v>47.4</v>
      </c>
    </row>
    <row r="10" customFormat="false" ht="15" hidden="false" customHeight="true" outlineLevel="0" collapsed="false">
      <c r="A10" s="28" t="s">
        <v>98</v>
      </c>
      <c r="B10" s="29" t="n">
        <v>0.077</v>
      </c>
    </row>
    <row r="11" customFormat="false" ht="15" hidden="false" customHeight="true" outlineLevel="0" collapsed="false">
      <c r="A11" s="28" t="s">
        <v>99</v>
      </c>
      <c r="B11" s="29" t="n">
        <v>0.153</v>
      </c>
    </row>
    <row r="12" customFormat="false" ht="15" hidden="false" customHeight="true" outlineLevel="0" collapsed="false">
      <c r="A12" s="28" t="s">
        <v>100</v>
      </c>
      <c r="B12" s="29" t="n">
        <v>0.018</v>
      </c>
    </row>
    <row r="13" customFormat="false" ht="15" hidden="false" customHeight="true" outlineLevel="0" collapsed="false">
      <c r="A13" s="28" t="s">
        <v>101</v>
      </c>
      <c r="B13" s="29" t="n">
        <v>0.199</v>
      </c>
    </row>
    <row r="14" customFormat="false" ht="15" hidden="false" customHeight="true" outlineLevel="0" collapsed="false">
      <c r="A14" s="28" t="s">
        <v>102</v>
      </c>
      <c r="B14" s="38" t="n">
        <v>23.6</v>
      </c>
    </row>
    <row r="15" customFormat="false" ht="15" hidden="false" customHeight="true" outlineLevel="0" collapsed="false">
      <c r="A15" s="28" t="s">
        <v>103</v>
      </c>
      <c r="B15" s="36" t="n">
        <v>281781</v>
      </c>
    </row>
    <row r="17" customFormat="false" ht="15" hidden="false" customHeight="true" outlineLevel="0" collapsed="false">
      <c r="A17" s="32" t="s">
        <v>104</v>
      </c>
    </row>
    <row r="18" customFormat="false" ht="15" hidden="false" customHeight="true" outlineLevel="0" collapsed="false">
      <c r="A18" s="5" t="s">
        <v>23</v>
      </c>
      <c r="B18" s="5" t="s">
        <v>24</v>
      </c>
      <c r="C18" s="5" t="s">
        <v>105</v>
      </c>
      <c r="D18" s="5" t="s">
        <v>106</v>
      </c>
      <c r="E18" s="5" t="s">
        <v>107</v>
      </c>
      <c r="F18" s="5" t="s">
        <v>108</v>
      </c>
      <c r="G18" s="5" t="s">
        <v>109</v>
      </c>
    </row>
    <row r="19" customFormat="false" ht="15" hidden="false" customHeight="true" outlineLevel="0" collapsed="false">
      <c r="A19" s="12" t="s">
        <v>34</v>
      </c>
      <c r="B19" s="12" t="n">
        <v>17236</v>
      </c>
      <c r="C19" s="39" t="n">
        <v>25.9</v>
      </c>
      <c r="D19" s="17" t="n">
        <v>-1.57</v>
      </c>
      <c r="E19" s="13" t="n">
        <f aca="false">B19/SUM($B$19:$B$21)</f>
        <v>0.3475</v>
      </c>
      <c r="F19" s="13" t="n">
        <f aca="false">C19/SUM($C$19:$C$21)</f>
        <v>0.0185317687464224</v>
      </c>
      <c r="G19" s="13" t="n">
        <f aca="false">D19/SUM($D$19:$D$21)</f>
        <v>-0.0331503378378378</v>
      </c>
    </row>
    <row r="20" customFormat="false" ht="15" hidden="false" customHeight="true" outlineLevel="0" collapsed="false">
      <c r="A20" s="12" t="s">
        <v>35</v>
      </c>
      <c r="B20" s="12" t="n">
        <v>22345</v>
      </c>
      <c r="C20" s="39" t="n">
        <v>317.2</v>
      </c>
      <c r="D20" s="17" t="n">
        <v>11.89</v>
      </c>
      <c r="E20" s="13" t="n">
        <f aca="false">B20/SUM($B$19:$B$21)</f>
        <v>0.450504032258065</v>
      </c>
      <c r="F20" s="13" t="n">
        <f aca="false">C20/SUM($C$19:$C$21)</f>
        <v>0.226960503720664</v>
      </c>
      <c r="G20" s="13" t="n">
        <f aca="false">D20/SUM($D$19:$D$21)</f>
        <v>0.251055743243243</v>
      </c>
    </row>
    <row r="21" customFormat="false" ht="15" hidden="false" customHeight="true" outlineLevel="0" collapsed="false">
      <c r="A21" s="12" t="s">
        <v>36</v>
      </c>
      <c r="B21" s="12" t="n">
        <v>10019</v>
      </c>
      <c r="C21" s="39" t="n">
        <v>1054.5</v>
      </c>
      <c r="D21" s="17" t="n">
        <v>37.04</v>
      </c>
      <c r="E21" s="13" t="n">
        <f aca="false">B21/SUM($B$19:$B$21)</f>
        <v>0.201995967741935</v>
      </c>
      <c r="F21" s="13" t="n">
        <f aca="false">C21/SUM($C$19:$C$21)</f>
        <v>0.754507727532914</v>
      </c>
      <c r="G21" s="13" t="n">
        <f aca="false">D21/SUM($D$19:$D$21)</f>
        <v>0.782094594594595</v>
      </c>
    </row>
    <row r="23" customFormat="false" ht="15" hidden="false" customHeight="true" outlineLevel="0" collapsed="false">
      <c r="A23" s="31" t="s">
        <v>110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8"/>
    <col collapsed="false" customWidth="true" hidden="false" outlineLevel="0" max="3" min="3" style="1" width="14"/>
    <col collapsed="false" customWidth="true" hidden="false" outlineLevel="0" max="4" min="4" style="1" width="24"/>
    <col collapsed="false" customWidth="true" hidden="false" outlineLevel="0" max="5" min="5" style="1" width="15"/>
    <col collapsed="false" customWidth="true" hidden="false" outlineLevel="0" max="6" min="6" style="1" width="18"/>
  </cols>
  <sheetData>
    <row r="1" customFormat="false" ht="17.25" hidden="false" customHeight="true" outlineLevel="0" collapsed="false">
      <c r="A1" s="2" t="s">
        <v>111</v>
      </c>
    </row>
    <row r="2" customFormat="false" ht="15" hidden="false" customHeight="true" outlineLevel="0" collapsed="false">
      <c r="A2" s="31" t="s">
        <v>112</v>
      </c>
    </row>
    <row r="4" customFormat="false" ht="15" hidden="false" customHeight="true" outlineLevel="0" collapsed="false">
      <c r="A4" s="5" t="s">
        <v>113</v>
      </c>
      <c r="B4" s="5" t="s">
        <v>114</v>
      </c>
      <c r="C4" s="5" t="s">
        <v>115</v>
      </c>
      <c r="D4" s="5" t="s">
        <v>116</v>
      </c>
      <c r="E4" s="5" t="s">
        <v>117</v>
      </c>
      <c r="F4" s="5" t="s">
        <v>118</v>
      </c>
    </row>
    <row r="5" customFormat="false" ht="15" hidden="false" customHeight="true" outlineLevel="0" collapsed="false">
      <c r="A5" s="12" t="s">
        <v>119</v>
      </c>
      <c r="B5" s="12" t="n">
        <v>1952</v>
      </c>
      <c r="C5" s="13" t="n">
        <v>0.086</v>
      </c>
      <c r="D5" s="13" t="n">
        <v>0.224</v>
      </c>
      <c r="E5" s="12" t="n">
        <v>1752</v>
      </c>
      <c r="F5" s="13" t="n">
        <v>0.245</v>
      </c>
    </row>
    <row r="6" customFormat="false" ht="15" hidden="false" customHeight="true" outlineLevel="0" collapsed="false">
      <c r="A6" s="12" t="s">
        <v>120</v>
      </c>
      <c r="B6" s="12" t="n">
        <v>1954</v>
      </c>
      <c r="C6" s="13" t="n">
        <v>0.102</v>
      </c>
      <c r="D6" s="13" t="n">
        <v>0.22</v>
      </c>
      <c r="E6" s="12" t="n">
        <v>1748</v>
      </c>
      <c r="F6" s="13" t="n">
        <v>0.26</v>
      </c>
    </row>
    <row r="7" customFormat="false" ht="15" hidden="false" customHeight="true" outlineLevel="0" collapsed="false">
      <c r="A7" s="12" t="s">
        <v>121</v>
      </c>
      <c r="B7" s="12" t="n">
        <v>1926</v>
      </c>
      <c r="C7" s="13" t="n">
        <v>0.11</v>
      </c>
      <c r="D7" s="13" t="n">
        <v>0.239</v>
      </c>
      <c r="E7" s="12" t="n">
        <v>1717</v>
      </c>
      <c r="F7" s="13" t="n">
        <v>0.264</v>
      </c>
    </row>
    <row r="8" customFormat="false" ht="15" hidden="false" customHeight="true" outlineLevel="0" collapsed="false">
      <c r="A8" s="12" t="s">
        <v>122</v>
      </c>
      <c r="B8" s="12" t="n">
        <v>2004</v>
      </c>
      <c r="C8" s="13" t="n">
        <v>0.094</v>
      </c>
      <c r="D8" s="13" t="n">
        <v>0.224</v>
      </c>
      <c r="E8" s="12" t="n">
        <v>1785</v>
      </c>
      <c r="F8" s="13" t="n">
        <v>0.262</v>
      </c>
    </row>
    <row r="9" customFormat="false" ht="15" hidden="false" customHeight="true" outlineLevel="0" collapsed="false">
      <c r="A9" s="12" t="s">
        <v>123</v>
      </c>
      <c r="B9" s="12" t="n">
        <v>1992</v>
      </c>
      <c r="C9" s="13" t="n">
        <v>0.1</v>
      </c>
      <c r="D9" s="13" t="n">
        <v>0.236</v>
      </c>
      <c r="E9" s="12" t="n">
        <v>1781</v>
      </c>
      <c r="F9" s="13" t="n">
        <v>0.251</v>
      </c>
    </row>
    <row r="10" customFormat="false" ht="15" hidden="false" customHeight="true" outlineLevel="0" collapsed="false">
      <c r="A10" s="12" t="s">
        <v>124</v>
      </c>
      <c r="B10" s="12" t="n">
        <v>2009</v>
      </c>
      <c r="C10" s="13" t="n">
        <v>0.109</v>
      </c>
      <c r="D10" s="13" t="n">
        <v>0.244</v>
      </c>
      <c r="E10" s="12" t="n">
        <v>1786</v>
      </c>
      <c r="F10" s="13" t="n">
        <v>0.269</v>
      </c>
    </row>
    <row r="11" customFormat="false" ht="15" hidden="false" customHeight="true" outlineLevel="0" collapsed="false">
      <c r="A11" s="12" t="s">
        <v>125</v>
      </c>
      <c r="B11" s="12" t="n">
        <v>2040</v>
      </c>
      <c r="C11" s="13" t="n">
        <v>0.102</v>
      </c>
      <c r="D11" s="13" t="n">
        <v>0.258</v>
      </c>
      <c r="E11" s="12" t="n">
        <v>1796</v>
      </c>
      <c r="F11" s="13" t="n">
        <v>0.256</v>
      </c>
    </row>
    <row r="12" customFormat="false" ht="15" hidden="false" customHeight="true" outlineLevel="0" collapsed="false">
      <c r="A12" s="12" t="s">
        <v>126</v>
      </c>
      <c r="B12" s="12" t="n">
        <v>2048</v>
      </c>
      <c r="C12" s="13" t="n">
        <v>0.099</v>
      </c>
      <c r="D12" s="13" t="n">
        <v>0.253</v>
      </c>
      <c r="E12" s="12" t="n">
        <v>1849</v>
      </c>
      <c r="F12" s="13" t="n">
        <v>0.251</v>
      </c>
    </row>
    <row r="13" customFormat="false" ht="15" hidden="false" customHeight="true" outlineLevel="0" collapsed="false">
      <c r="A13" s="12" t="s">
        <v>127</v>
      </c>
      <c r="B13" s="12" t="n">
        <v>2009</v>
      </c>
      <c r="C13" s="13" t="n">
        <v>0.104</v>
      </c>
      <c r="D13" s="13" t="n">
        <v>0.261</v>
      </c>
      <c r="E13" s="12" t="n">
        <v>1794</v>
      </c>
      <c r="F13" s="13" t="n">
        <v>0.249</v>
      </c>
    </row>
    <row r="14" customFormat="false" ht="15" hidden="false" customHeight="true" outlineLevel="0" collapsed="false">
      <c r="A14" s="12" t="s">
        <v>128</v>
      </c>
      <c r="B14" s="12" t="n">
        <v>2041</v>
      </c>
      <c r="C14" s="13" t="n">
        <v>0.097</v>
      </c>
      <c r="D14" s="13" t="n">
        <v>0.261</v>
      </c>
      <c r="E14" s="12" t="n">
        <v>1846</v>
      </c>
      <c r="F14" s="13" t="n">
        <v>0.264</v>
      </c>
    </row>
    <row r="15" customFormat="false" ht="15" hidden="false" customHeight="true" outlineLevel="0" collapsed="false">
      <c r="A15" s="12" t="s">
        <v>129</v>
      </c>
      <c r="B15" s="12" t="n">
        <v>1968</v>
      </c>
      <c r="C15" s="13" t="n">
        <v>0.098</v>
      </c>
      <c r="D15" s="13" t="n">
        <v>0.246</v>
      </c>
      <c r="E15" s="12" t="n">
        <v>1782</v>
      </c>
      <c r="F15" s="13" t="n">
        <v>0.247</v>
      </c>
    </row>
    <row r="16" customFormat="false" ht="15" hidden="false" customHeight="true" outlineLevel="0" collapsed="false">
      <c r="A16" s="12" t="s">
        <v>130</v>
      </c>
      <c r="B16" s="12" t="n">
        <v>1997</v>
      </c>
      <c r="C16" s="13" t="n">
        <v>0.075</v>
      </c>
      <c r="D16" s="13" t="n">
        <v>0.239</v>
      </c>
      <c r="E16" s="12" t="n">
        <v>1786</v>
      </c>
      <c r="F16" s="13" t="n">
        <v>0.257</v>
      </c>
    </row>
    <row r="17" customFormat="false" ht="15" hidden="false" customHeight="true" outlineLevel="0" collapsed="false">
      <c r="A17" s="12" t="s">
        <v>131</v>
      </c>
      <c r="B17" s="12" t="n">
        <v>2130</v>
      </c>
      <c r="C17" s="13" t="n">
        <v>0.081</v>
      </c>
      <c r="D17" s="13" t="n">
        <v>0.242</v>
      </c>
      <c r="E17" s="12" t="n">
        <v>1910</v>
      </c>
      <c r="F17" s="13" t="n">
        <v>0.277</v>
      </c>
    </row>
    <row r="18" customFormat="false" ht="15" hidden="false" customHeight="true" outlineLevel="0" collapsed="false">
      <c r="A18" s="12" t="s">
        <v>132</v>
      </c>
      <c r="B18" s="12" t="n">
        <v>2147</v>
      </c>
      <c r="C18" s="13" t="n">
        <v>0.084</v>
      </c>
      <c r="D18" s="13" t="n">
        <v>0.262</v>
      </c>
      <c r="E18" s="12" t="n">
        <v>1930</v>
      </c>
      <c r="F18" s="13" t="n">
        <v>0.259</v>
      </c>
    </row>
    <row r="19" customFormat="false" ht="15" hidden="false" customHeight="true" outlineLevel="0" collapsed="false">
      <c r="A19" s="12" t="s">
        <v>133</v>
      </c>
      <c r="B19" s="12" t="n">
        <v>2085</v>
      </c>
      <c r="C19" s="13" t="n">
        <v>0.082</v>
      </c>
      <c r="D19" s="13" t="n">
        <v>0.253</v>
      </c>
      <c r="E19" s="12" t="n">
        <v>1874</v>
      </c>
      <c r="F19" s="13" t="n">
        <v>0.261</v>
      </c>
    </row>
    <row r="20" customFormat="false" ht="15" hidden="false" customHeight="true" outlineLevel="0" collapsed="false">
      <c r="A20" s="12" t="s">
        <v>134</v>
      </c>
      <c r="B20" s="12" t="n">
        <v>2052</v>
      </c>
      <c r="C20" s="13" t="n">
        <v>0.082</v>
      </c>
      <c r="D20" s="13" t="n">
        <v>0.256</v>
      </c>
      <c r="E20" s="12" t="n">
        <v>1818</v>
      </c>
      <c r="F20" s="13" t="n">
        <v>0.26</v>
      </c>
    </row>
    <row r="21" customFormat="false" ht="15" hidden="false" customHeight="true" outlineLevel="0" collapsed="false">
      <c r="A21" s="12" t="s">
        <v>135</v>
      </c>
      <c r="B21" s="12" t="n">
        <v>2117</v>
      </c>
      <c r="C21" s="13" t="n">
        <v>0.067</v>
      </c>
      <c r="D21" s="13" t="n">
        <v>0.252</v>
      </c>
      <c r="E21" s="12" t="n">
        <v>1900</v>
      </c>
      <c r="F21" s="13" t="n">
        <v>0.262</v>
      </c>
    </row>
    <row r="22" customFormat="false" ht="15" hidden="false" customHeight="true" outlineLevel="0" collapsed="false">
      <c r="A22" s="12" t="s">
        <v>136</v>
      </c>
      <c r="B22" s="12" t="n">
        <v>2090</v>
      </c>
      <c r="C22" s="13" t="n">
        <v>0.065</v>
      </c>
      <c r="D22" s="13" t="n">
        <v>0.261</v>
      </c>
      <c r="E22" s="12" t="n">
        <v>1864</v>
      </c>
      <c r="F22" s="13" t="n">
        <v>0.257</v>
      </c>
    </row>
    <row r="23" customFormat="false" ht="15" hidden="false" customHeight="true" outlineLevel="0" collapsed="false">
      <c r="A23" s="12" t="s">
        <v>137</v>
      </c>
      <c r="B23" s="12" t="n">
        <v>2117</v>
      </c>
      <c r="C23" s="13" t="n">
        <v>0.072</v>
      </c>
      <c r="D23" s="13" t="n">
        <v>0.254</v>
      </c>
      <c r="E23" s="12" t="n">
        <v>1907</v>
      </c>
      <c r="F23" s="13" t="n">
        <v>0.263</v>
      </c>
    </row>
    <row r="24" customFormat="false" ht="15" hidden="false" customHeight="true" outlineLevel="0" collapsed="false">
      <c r="A24" s="12" t="s">
        <v>138</v>
      </c>
      <c r="B24" s="12" t="n">
        <v>2076</v>
      </c>
      <c r="C24" s="13" t="n">
        <v>0.061</v>
      </c>
      <c r="D24" s="13" t="n">
        <v>0.244</v>
      </c>
      <c r="E24" s="12" t="n">
        <v>1854</v>
      </c>
      <c r="F24" s="13" t="n">
        <v>0.27</v>
      </c>
    </row>
    <row r="25" customFormat="false" ht="15" hidden="false" customHeight="true" outlineLevel="0" collapsed="false">
      <c r="A25" s="12" t="s">
        <v>139</v>
      </c>
      <c r="B25" s="12" t="n">
        <v>2215</v>
      </c>
      <c r="C25" s="13" t="n">
        <v>0.051</v>
      </c>
      <c r="D25" s="13" t="n">
        <v>0.267</v>
      </c>
      <c r="E25" s="12" t="n">
        <v>1961</v>
      </c>
      <c r="F25" s="13" t="n">
        <v>0.256</v>
      </c>
    </row>
    <row r="26" customFormat="false" ht="15" hidden="false" customHeight="true" outlineLevel="0" collapsed="false">
      <c r="A26" s="12" t="s">
        <v>140</v>
      </c>
      <c r="B26" s="12" t="n">
        <v>2264</v>
      </c>
      <c r="C26" s="13" t="n">
        <v>0.042</v>
      </c>
      <c r="D26" s="13" t="n">
        <v>0.238</v>
      </c>
      <c r="E26" s="12" t="n">
        <v>2027</v>
      </c>
      <c r="F26" s="13" t="n">
        <v>0.264</v>
      </c>
    </row>
    <row r="27" customFormat="false" ht="15" hidden="false" customHeight="true" outlineLevel="0" collapsed="false">
      <c r="A27" s="12" t="s">
        <v>141</v>
      </c>
      <c r="B27" s="12" t="n">
        <v>2170</v>
      </c>
      <c r="C27" s="13" t="n">
        <v>0</v>
      </c>
      <c r="D27" s="13"/>
      <c r="E27" s="12" t="n">
        <v>0</v>
      </c>
      <c r="F27" s="13" t="n">
        <v>0.249</v>
      </c>
    </row>
    <row r="28" customFormat="false" ht="15" hidden="false" customHeight="true" outlineLevel="0" collapsed="false">
      <c r="A28" s="12" t="s">
        <v>142</v>
      </c>
      <c r="B28" s="12" t="n">
        <v>2197</v>
      </c>
      <c r="C28" s="13" t="n">
        <v>0</v>
      </c>
      <c r="D28" s="13"/>
      <c r="E28" s="12" t="n">
        <v>0</v>
      </c>
      <c r="F28" s="13" t="n">
        <v>0.251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7" min="2" style="1" width="11"/>
  </cols>
  <sheetData>
    <row r="1" customFormat="false" ht="17.25" hidden="false" customHeight="true" outlineLevel="0" collapsed="false">
      <c r="A1" s="2" t="s">
        <v>143</v>
      </c>
    </row>
    <row r="2" customFormat="false" ht="15" hidden="false" customHeight="true" outlineLevel="0" collapsed="false">
      <c r="A2" s="31" t="s">
        <v>144</v>
      </c>
    </row>
    <row r="4" customFormat="false" ht="15" hidden="false" customHeight="true" outlineLevel="0" collapsed="false">
      <c r="A4" s="5" t="s">
        <v>145</v>
      </c>
      <c r="B4" s="5" t="s">
        <v>146</v>
      </c>
      <c r="C4" s="5" t="s">
        <v>147</v>
      </c>
      <c r="D4" s="5" t="s">
        <v>148</v>
      </c>
      <c r="E4" s="5" t="s">
        <v>149</v>
      </c>
      <c r="F4" s="5" t="s">
        <v>150</v>
      </c>
      <c r="G4" s="5" t="s">
        <v>151</v>
      </c>
    </row>
    <row r="5" customFormat="false" ht="15" hidden="false" customHeight="true" outlineLevel="0" collapsed="false">
      <c r="A5" s="18" t="s">
        <v>146</v>
      </c>
      <c r="B5" s="25" t="n">
        <v>0.9116</v>
      </c>
      <c r="C5" s="25" t="n">
        <v>0.0884</v>
      </c>
      <c r="D5" s="25" t="n">
        <v>0</v>
      </c>
      <c r="E5" s="25" t="n">
        <v>0</v>
      </c>
      <c r="F5" s="25" t="n">
        <v>0</v>
      </c>
      <c r="G5" s="13" t="n">
        <f aca="false">SUM(B5:F5)</f>
        <v>1</v>
      </c>
    </row>
    <row r="6" customFormat="false" ht="15" hidden="false" customHeight="true" outlineLevel="0" collapsed="false">
      <c r="A6" s="18" t="s">
        <v>147</v>
      </c>
      <c r="B6" s="25" t="n">
        <v>0.6821</v>
      </c>
      <c r="C6" s="25" t="n">
        <v>0.0359</v>
      </c>
      <c r="D6" s="25" t="n">
        <v>0.282</v>
      </c>
      <c r="E6" s="25" t="n">
        <v>0</v>
      </c>
      <c r="F6" s="25" t="n">
        <v>0</v>
      </c>
      <c r="G6" s="13" t="n">
        <f aca="false">SUM(B6:F6)</f>
        <v>1</v>
      </c>
    </row>
    <row r="7" customFormat="false" ht="15" hidden="false" customHeight="true" outlineLevel="0" collapsed="false">
      <c r="A7" s="18" t="s">
        <v>148</v>
      </c>
      <c r="B7" s="25" t="n">
        <v>0.1065</v>
      </c>
      <c r="C7" s="25" t="n">
        <v>0.2542</v>
      </c>
      <c r="D7" s="25" t="n">
        <v>0.0445</v>
      </c>
      <c r="E7" s="25" t="n">
        <v>0.5948</v>
      </c>
      <c r="F7" s="25" t="n">
        <v>0</v>
      </c>
      <c r="G7" s="13" t="n">
        <f aca="false">SUM(B7:F7)</f>
        <v>1</v>
      </c>
    </row>
    <row r="8" customFormat="false" ht="15" hidden="false" customHeight="true" outlineLevel="0" collapsed="false">
      <c r="A8" s="18" t="s">
        <v>149</v>
      </c>
      <c r="B8" s="25" t="n">
        <v>0.0312</v>
      </c>
      <c r="C8" s="25" t="n">
        <v>0</v>
      </c>
      <c r="D8" s="25" t="n">
        <v>0.1764</v>
      </c>
      <c r="E8" s="25" t="n">
        <v>0.0529</v>
      </c>
      <c r="F8" s="25" t="n">
        <v>0.7396</v>
      </c>
      <c r="G8" s="13" t="n">
        <f aca="false">SUM(B8:F8)</f>
        <v>1.0001</v>
      </c>
    </row>
    <row r="9" customFormat="false" ht="15" hidden="false" customHeight="true" outlineLevel="0" collapsed="false">
      <c r="A9" s="18" t="s">
        <v>150</v>
      </c>
      <c r="B9" s="25" t="n">
        <v>0.0049</v>
      </c>
      <c r="C9" s="25" t="n">
        <v>0</v>
      </c>
      <c r="D9" s="25" t="n">
        <v>0</v>
      </c>
      <c r="E9" s="25" t="n">
        <v>0.0648</v>
      </c>
      <c r="F9" s="25" t="n">
        <v>0.9304</v>
      </c>
      <c r="G9" s="13" t="n">
        <f aca="false">SUM(B9:F9)</f>
        <v>1.0001</v>
      </c>
    </row>
    <row r="11" customFormat="false" ht="15" hidden="false" customHeight="true" outlineLevel="0" collapsed="false">
      <c r="A11" s="31" t="s">
        <v>152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2" min="2" style="1" width="14"/>
    <col collapsed="false" customWidth="true" hidden="false" outlineLevel="0" max="3" min="3" style="1" width="16"/>
    <col collapsed="false" customWidth="true" hidden="false" outlineLevel="0" max="4" min="4" style="1" width="26"/>
  </cols>
  <sheetData>
    <row r="1" customFormat="false" ht="17.25" hidden="false" customHeight="true" outlineLevel="0" collapsed="false">
      <c r="A1" s="2" t="s">
        <v>153</v>
      </c>
    </row>
    <row r="3" customFormat="false" ht="15" hidden="false" customHeight="true" outlineLevel="0" collapsed="false">
      <c r="A3" s="5" t="s">
        <v>154</v>
      </c>
      <c r="B3" s="5" t="s">
        <v>155</v>
      </c>
      <c r="C3" s="5" t="s">
        <v>156</v>
      </c>
      <c r="D3" s="5" t="s">
        <v>157</v>
      </c>
    </row>
    <row r="4" customFormat="false" ht="15" hidden="false" customHeight="true" outlineLevel="0" collapsed="false">
      <c r="A4" s="30" t="s">
        <v>158</v>
      </c>
      <c r="B4" s="40" t="s">
        <v>159</v>
      </c>
      <c r="C4" s="12" t="s">
        <v>160</v>
      </c>
      <c r="D4" s="30" t="s">
        <v>161</v>
      </c>
    </row>
    <row r="5" customFormat="false" ht="15" hidden="false" customHeight="true" outlineLevel="0" collapsed="false">
      <c r="A5" s="30" t="s">
        <v>162</v>
      </c>
      <c r="B5" s="40" t="s">
        <v>159</v>
      </c>
      <c r="C5" s="12" t="s">
        <v>160</v>
      </c>
      <c r="D5" s="30" t="s">
        <v>163</v>
      </c>
    </row>
    <row r="6" customFormat="false" ht="15" hidden="false" customHeight="true" outlineLevel="0" collapsed="false">
      <c r="A6" s="30" t="s">
        <v>164</v>
      </c>
      <c r="B6" s="40" t="s">
        <v>159</v>
      </c>
      <c r="C6" s="12" t="s">
        <v>160</v>
      </c>
      <c r="D6" s="30" t="s">
        <v>165</v>
      </c>
    </row>
    <row r="7" customFormat="false" ht="15" hidden="false" customHeight="true" outlineLevel="0" collapsed="false">
      <c r="A7" s="30" t="s">
        <v>166</v>
      </c>
      <c r="B7" s="40" t="s">
        <v>159</v>
      </c>
      <c r="C7" s="12" t="s">
        <v>160</v>
      </c>
      <c r="D7" s="30" t="s">
        <v>167</v>
      </c>
    </row>
    <row r="8" customFormat="false" ht="15" hidden="false" customHeight="true" outlineLevel="0" collapsed="false">
      <c r="A8" s="30" t="s">
        <v>168</v>
      </c>
      <c r="B8" s="40" t="s">
        <v>159</v>
      </c>
      <c r="C8" s="12" t="s">
        <v>160</v>
      </c>
      <c r="D8" s="30" t="s">
        <v>169</v>
      </c>
    </row>
    <row r="9" customFormat="false" ht="15" hidden="false" customHeight="true" outlineLevel="0" collapsed="false">
      <c r="A9" s="30" t="s">
        <v>170</v>
      </c>
      <c r="B9" s="40" t="s">
        <v>159</v>
      </c>
      <c r="C9" s="12" t="s">
        <v>160</v>
      </c>
      <c r="D9" s="30" t="s">
        <v>171</v>
      </c>
    </row>
    <row r="10" customFormat="false" ht="15" hidden="false" customHeight="true" outlineLevel="0" collapsed="false">
      <c r="A10" s="30" t="s">
        <v>172</v>
      </c>
      <c r="B10" s="40" t="s">
        <v>159</v>
      </c>
      <c r="C10" s="12" t="s">
        <v>160</v>
      </c>
      <c r="D10" s="30" t="s">
        <v>173</v>
      </c>
    </row>
    <row r="11" customFormat="false" ht="15" hidden="false" customHeight="true" outlineLevel="0" collapsed="false">
      <c r="A11" s="30" t="s">
        <v>174</v>
      </c>
      <c r="B11" s="40" t="s">
        <v>159</v>
      </c>
      <c r="C11" s="12" t="s">
        <v>160</v>
      </c>
      <c r="D11" s="30" t="s">
        <v>175</v>
      </c>
    </row>
    <row r="12" customFormat="false" ht="15" hidden="false" customHeight="true" outlineLevel="0" collapsed="false">
      <c r="A12" s="30" t="s">
        <v>176</v>
      </c>
      <c r="B12" s="40" t="s">
        <v>159</v>
      </c>
      <c r="C12" s="12" t="s">
        <v>177</v>
      </c>
      <c r="D12" s="30" t="s">
        <v>178</v>
      </c>
    </row>
    <row r="13" customFormat="false" ht="15" hidden="false" customHeight="true" outlineLevel="0" collapsed="false">
      <c r="A13" s="30" t="s">
        <v>179</v>
      </c>
      <c r="B13" s="41" t="s">
        <v>180</v>
      </c>
      <c r="C13" s="12" t="s">
        <v>181</v>
      </c>
      <c r="D13" s="30" t="s">
        <v>182</v>
      </c>
    </row>
    <row r="15" customFormat="false" ht="15" hidden="false" customHeight="true" outlineLevel="0" collapsed="false">
      <c r="A15" s="31" t="s">
        <v>183</v>
      </c>
    </row>
    <row r="16" customFormat="false" ht="15" hidden="false" customHeight="true" outlineLevel="0" collapsed="false">
      <c r="A16" s="30" t="s">
        <v>184</v>
      </c>
      <c r="B16" s="40" t="s">
        <v>159</v>
      </c>
      <c r="C16" s="42" t="s">
        <v>185</v>
      </c>
      <c r="D16" s="42" t="s">
        <v>186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3" min="2" style="1" width="9"/>
    <col collapsed="false" customWidth="true" hidden="false" outlineLevel="0" max="4" min="4" style="1" width="12"/>
    <col collapsed="false" customWidth="true" hidden="false" outlineLevel="0" max="5" min="5" style="1" width="9"/>
    <col collapsed="false" customWidth="true" hidden="false" outlineLevel="0" max="6" min="6" style="1" width="15"/>
    <col collapsed="false" customWidth="true" hidden="false" outlineLevel="0" max="7" min="7" style="1" width="16"/>
    <col collapsed="false" customWidth="true" hidden="false" outlineLevel="0" max="8" min="8" style="1" width="9"/>
    <col collapsed="false" customWidth="true" hidden="false" outlineLevel="0" max="9" min="9" style="1" width="11"/>
    <col collapsed="false" customWidth="true" hidden="false" outlineLevel="0" max="10" min="10" style="1" width="10"/>
  </cols>
  <sheetData>
    <row r="1" customFormat="false" ht="17.25" hidden="false" customHeight="true" outlineLevel="0" collapsed="false">
      <c r="A1" s="2" t="s">
        <v>187</v>
      </c>
    </row>
    <row r="2" customFormat="false" ht="15" hidden="false" customHeight="true" outlineLevel="0" collapsed="false">
      <c r="A2" s="31" t="s">
        <v>188</v>
      </c>
    </row>
    <row r="4" customFormat="false" ht="15" hidden="false" customHeight="true" outlineLevel="0" collapsed="false">
      <c r="A4" s="5" t="s">
        <v>189</v>
      </c>
      <c r="B4" s="5" t="s">
        <v>92</v>
      </c>
      <c r="C4" s="5" t="s">
        <v>190</v>
      </c>
      <c r="D4" s="5" t="s">
        <v>191</v>
      </c>
      <c r="E4" s="5" t="s">
        <v>192</v>
      </c>
      <c r="F4" s="5" t="s">
        <v>193</v>
      </c>
      <c r="G4" s="5" t="s">
        <v>194</v>
      </c>
      <c r="H4" s="5" t="s">
        <v>195</v>
      </c>
      <c r="I4" s="5" t="s">
        <v>196</v>
      </c>
      <c r="J4" s="5" t="s">
        <v>197</v>
      </c>
    </row>
    <row r="5" customFormat="false" ht="15" hidden="false" customHeight="true" outlineLevel="0" collapsed="false">
      <c r="A5" s="12" t="s">
        <v>198</v>
      </c>
      <c r="B5" s="12" t="n">
        <v>7500</v>
      </c>
      <c r="C5" s="13" t="n">
        <v>0.1512</v>
      </c>
      <c r="D5" s="14" t="n">
        <v>306</v>
      </c>
      <c r="E5" s="13" t="n">
        <v>0.07</v>
      </c>
      <c r="F5" s="16" t="n">
        <v>10086</v>
      </c>
      <c r="G5" s="16" t="n">
        <v>3594</v>
      </c>
      <c r="H5" s="13" t="n">
        <v>1.81</v>
      </c>
      <c r="I5" s="43" t="n">
        <v>0.55</v>
      </c>
      <c r="J5" s="44" t="n">
        <v>33.7</v>
      </c>
    </row>
    <row r="6" customFormat="false" ht="15" hidden="false" customHeight="true" outlineLevel="0" collapsed="false">
      <c r="A6" s="12" t="s">
        <v>199</v>
      </c>
      <c r="B6" s="12" t="n">
        <v>12359</v>
      </c>
      <c r="C6" s="13" t="n">
        <v>0.2492</v>
      </c>
      <c r="D6" s="14" t="n">
        <v>613</v>
      </c>
      <c r="E6" s="13" t="n">
        <v>0.08</v>
      </c>
      <c r="F6" s="16" t="n">
        <v>9959</v>
      </c>
      <c r="G6" s="16" t="n">
        <v>3497</v>
      </c>
      <c r="H6" s="13" t="n">
        <v>1.85</v>
      </c>
      <c r="I6" s="43" t="n">
        <v>1.07</v>
      </c>
      <c r="J6" s="44" t="n">
        <v>17</v>
      </c>
    </row>
    <row r="7" customFormat="false" ht="15" hidden="false" customHeight="true" outlineLevel="0" collapsed="false">
      <c r="A7" s="12" t="s">
        <v>200</v>
      </c>
      <c r="B7" s="12" t="n">
        <v>17134</v>
      </c>
      <c r="C7" s="13" t="n">
        <v>0.3454</v>
      </c>
      <c r="D7" s="14" t="n">
        <v>1222</v>
      </c>
      <c r="E7" s="13" t="n">
        <v>0.08</v>
      </c>
      <c r="F7" s="16" t="n">
        <v>9721</v>
      </c>
      <c r="G7" s="16" t="n">
        <v>2965</v>
      </c>
      <c r="H7" s="13" t="n">
        <v>2.28</v>
      </c>
      <c r="I7" s="43" t="n">
        <v>2.14</v>
      </c>
      <c r="J7" s="44" t="n">
        <v>8.8</v>
      </c>
    </row>
    <row r="8" customFormat="false" ht="15" hidden="false" customHeight="true" outlineLevel="0" collapsed="false">
      <c r="A8" s="12" t="s">
        <v>201</v>
      </c>
      <c r="B8" s="12" t="n">
        <v>5039</v>
      </c>
      <c r="C8" s="13" t="n">
        <v>0.1016</v>
      </c>
      <c r="D8" s="14" t="n">
        <v>152</v>
      </c>
      <c r="E8" s="13" t="n">
        <v>0.07</v>
      </c>
      <c r="F8" s="16" t="n">
        <v>9018</v>
      </c>
      <c r="G8" s="16" t="n">
        <v>3591</v>
      </c>
      <c r="H8" s="13" t="n">
        <v>1.51</v>
      </c>
      <c r="I8" s="43" t="n">
        <v>0.3</v>
      </c>
      <c r="J8" s="44" t="n">
        <v>60</v>
      </c>
    </row>
    <row r="9" customFormat="false" ht="15" hidden="false" customHeight="true" outlineLevel="0" collapsed="false">
      <c r="A9" s="12" t="s">
        <v>202</v>
      </c>
      <c r="B9" s="12" t="n">
        <v>7568</v>
      </c>
      <c r="C9" s="13" t="n">
        <v>0.1526</v>
      </c>
      <c r="D9" s="14" t="n">
        <v>1021</v>
      </c>
      <c r="E9" s="13" t="n">
        <v>0.08</v>
      </c>
      <c r="F9" s="16" t="n">
        <v>8314</v>
      </c>
      <c r="G9" s="16" t="n">
        <v>3008</v>
      </c>
      <c r="H9" s="13" t="n">
        <v>1.76</v>
      </c>
      <c r="I9" s="43" t="n">
        <v>1.8</v>
      </c>
      <c r="J9" s="44" t="n">
        <v>8.9</v>
      </c>
    </row>
    <row r="11" customFormat="false" ht="15" hidden="false" customHeight="true" outlineLevel="0" collapsed="false">
      <c r="A11" s="31" t="s">
        <v>203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4"/>
    <col collapsed="false" customWidth="true" hidden="false" outlineLevel="0" max="3" min="3" style="1" width="16"/>
    <col collapsed="false" customWidth="true" hidden="false" outlineLevel="0" max="4" min="4" style="1" width="10"/>
  </cols>
  <sheetData>
    <row r="1" customFormat="false" ht="17.25" hidden="false" customHeight="true" outlineLevel="0" collapsed="false">
      <c r="A1" s="2" t="s">
        <v>204</v>
      </c>
    </row>
    <row r="2" customFormat="false" ht="15" hidden="false" customHeight="true" outlineLevel="0" collapsed="false">
      <c r="A2" s="31" t="s">
        <v>205</v>
      </c>
    </row>
    <row r="4" customFormat="false" ht="15" hidden="false" customHeight="true" outlineLevel="0" collapsed="false">
      <c r="A4" s="32" t="s">
        <v>206</v>
      </c>
    </row>
    <row r="5" customFormat="false" ht="15" hidden="false" customHeight="true" outlineLevel="0" collapsed="false">
      <c r="A5" s="5" t="s">
        <v>207</v>
      </c>
      <c r="B5" s="5" t="s">
        <v>208</v>
      </c>
      <c r="C5" s="5" t="s">
        <v>209</v>
      </c>
      <c r="D5" s="5" t="s">
        <v>210</v>
      </c>
    </row>
    <row r="6" customFormat="false" ht="15" hidden="false" customHeight="true" outlineLevel="0" collapsed="false">
      <c r="A6" s="12" t="s">
        <v>211</v>
      </c>
      <c r="B6" s="12" t="n">
        <v>12.4</v>
      </c>
      <c r="C6" s="12" t="n">
        <v>16.1</v>
      </c>
      <c r="D6" s="12" t="n">
        <v>-3.7</v>
      </c>
    </row>
    <row r="7" customFormat="false" ht="15" hidden="false" customHeight="true" outlineLevel="0" collapsed="false">
      <c r="A7" s="12" t="s">
        <v>212</v>
      </c>
      <c r="B7" s="12" t="n">
        <v>28</v>
      </c>
      <c r="C7" s="12" t="n">
        <v>29.7</v>
      </c>
      <c r="D7" s="12" t="n">
        <v>-1.7</v>
      </c>
    </row>
    <row r="8" customFormat="false" ht="15" hidden="false" customHeight="true" outlineLevel="0" collapsed="false">
      <c r="A8" s="12" t="s">
        <v>213</v>
      </c>
      <c r="B8" s="12" t="n">
        <v>29.9</v>
      </c>
      <c r="C8" s="12" t="n">
        <v>29</v>
      </c>
      <c r="D8" s="12" t="n">
        <v>1</v>
      </c>
    </row>
    <row r="9" customFormat="false" ht="15" hidden="false" customHeight="true" outlineLevel="0" collapsed="false">
      <c r="A9" s="12" t="s">
        <v>214</v>
      </c>
      <c r="B9" s="12" t="n">
        <v>19.9</v>
      </c>
      <c r="C9" s="12" t="n">
        <v>17.9</v>
      </c>
      <c r="D9" s="12" t="n">
        <v>2</v>
      </c>
    </row>
    <row r="10" customFormat="false" ht="15" hidden="false" customHeight="true" outlineLevel="0" collapsed="false">
      <c r="A10" s="12" t="s">
        <v>215</v>
      </c>
      <c r="B10" s="12" t="n">
        <v>9.7</v>
      </c>
      <c r="C10" s="12" t="n">
        <v>7.3</v>
      </c>
      <c r="D10" s="12" t="n">
        <v>2.4</v>
      </c>
    </row>
    <row r="12" customFormat="false" ht="15" hidden="false" customHeight="true" outlineLevel="0" collapsed="false">
      <c r="A12" s="32" t="s">
        <v>216</v>
      </c>
    </row>
    <row r="13" customFormat="false" ht="15" hidden="false" customHeight="true" outlineLevel="0" collapsed="false">
      <c r="A13" s="5" t="s">
        <v>207</v>
      </c>
      <c r="B13" s="5" t="s">
        <v>217</v>
      </c>
      <c r="C13" s="5" t="s">
        <v>218</v>
      </c>
      <c r="D13" s="5" t="s">
        <v>210</v>
      </c>
    </row>
    <row r="14" customFormat="false" ht="15" hidden="false" customHeight="true" outlineLevel="0" collapsed="false">
      <c r="A14" s="12" t="s">
        <v>211</v>
      </c>
      <c r="B14" s="12" t="n">
        <v>2.1</v>
      </c>
      <c r="C14" s="12" t="n">
        <v>1.7</v>
      </c>
      <c r="D14" s="12" t="n">
        <v>0.5</v>
      </c>
    </row>
    <row r="15" customFormat="false" ht="15" hidden="false" customHeight="true" outlineLevel="0" collapsed="false">
      <c r="A15" s="12" t="s">
        <v>212</v>
      </c>
      <c r="B15" s="12" t="n">
        <v>3.2</v>
      </c>
      <c r="C15" s="12" t="n">
        <v>3.6</v>
      </c>
      <c r="D15" s="12" t="n">
        <v>-0.4</v>
      </c>
    </row>
    <row r="16" customFormat="false" ht="15" hidden="false" customHeight="true" outlineLevel="0" collapsed="false">
      <c r="A16" s="12" t="s">
        <v>213</v>
      </c>
      <c r="B16" s="12" t="n">
        <v>6.1</v>
      </c>
      <c r="C16" s="12" t="n">
        <v>6.7</v>
      </c>
      <c r="D16" s="12" t="n">
        <v>-0.6</v>
      </c>
    </row>
    <row r="17" customFormat="false" ht="15" hidden="false" customHeight="true" outlineLevel="0" collapsed="false">
      <c r="A17" s="12" t="s">
        <v>214</v>
      </c>
      <c r="B17" s="12" t="n">
        <v>15</v>
      </c>
      <c r="C17" s="12" t="n">
        <v>14.2</v>
      </c>
      <c r="D17" s="12" t="n">
        <v>0.7</v>
      </c>
    </row>
    <row r="18" customFormat="false" ht="15" hidden="false" customHeight="true" outlineLevel="0" collapsed="false">
      <c r="A18" s="12" t="s">
        <v>215</v>
      </c>
      <c r="B18" s="12" t="n">
        <v>24.4</v>
      </c>
      <c r="C18" s="12" t="n">
        <v>23.5</v>
      </c>
      <c r="D18" s="12" t="n">
        <v>0.9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20"/>
  </cols>
  <sheetData>
    <row r="1" customFormat="false" ht="17.25" hidden="false" customHeight="true" outlineLevel="0" collapsed="false">
      <c r="A1" s="2" t="s">
        <v>219</v>
      </c>
    </row>
    <row r="3" customFormat="false" ht="15" hidden="false" customHeight="true" outlineLevel="0" collapsed="false">
      <c r="A3" s="5" t="s">
        <v>220</v>
      </c>
      <c r="B3" s="5" t="s">
        <v>221</v>
      </c>
    </row>
    <row r="4" customFormat="false" ht="15" hidden="false" customHeight="true" outlineLevel="0" collapsed="false">
      <c r="A4" s="45" t="s">
        <v>222</v>
      </c>
      <c r="B4" s="30" t="s">
        <v>223</v>
      </c>
    </row>
    <row r="5" customFormat="false" ht="15" hidden="false" customHeight="true" outlineLevel="0" collapsed="false">
      <c r="A5" s="45" t="s">
        <v>224</v>
      </c>
      <c r="B5" s="30" t="s">
        <v>225</v>
      </c>
    </row>
    <row r="6" customFormat="false" ht="15" hidden="false" customHeight="true" outlineLevel="0" collapsed="false">
      <c r="A6" s="45" t="s">
        <v>226</v>
      </c>
      <c r="B6" s="30" t="s">
        <v>227</v>
      </c>
    </row>
    <row r="7" customFormat="false" ht="23.25" hidden="false" customHeight="true" outlineLevel="0" collapsed="false">
      <c r="A7" s="45" t="s">
        <v>228</v>
      </c>
      <c r="B7" s="30" t="s">
        <v>229</v>
      </c>
    </row>
    <row r="8" customFormat="false" ht="15" hidden="false" customHeight="true" outlineLevel="0" collapsed="false">
      <c r="A8" s="45" t="s">
        <v>230</v>
      </c>
      <c r="B8" s="30" t="s">
        <v>231</v>
      </c>
    </row>
    <row r="9" customFormat="false" ht="23.25" hidden="false" customHeight="true" outlineLevel="0" collapsed="false">
      <c r="A9" s="45" t="s">
        <v>232</v>
      </c>
      <c r="B9" s="30" t="s">
        <v>233</v>
      </c>
    </row>
    <row r="10" customFormat="false" ht="34.5" hidden="false" customHeight="true" outlineLevel="0" collapsed="false">
      <c r="A10" s="45" t="s">
        <v>234</v>
      </c>
      <c r="B10" s="30" t="s">
        <v>235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6" min="2" style="1" width="15"/>
  </cols>
  <sheetData>
    <row r="1" customFormat="false" ht="17.25" hidden="false" customHeight="true" outlineLevel="0" collapsed="false">
      <c r="A1" s="2" t="s">
        <v>236</v>
      </c>
    </row>
    <row r="3" customFormat="false" ht="15" hidden="false" customHeight="true" outlineLevel="0" collapsed="false">
      <c r="A3" s="32" t="s">
        <v>237</v>
      </c>
    </row>
    <row r="4" customFormat="false" ht="15" hidden="false" customHeight="true" outlineLevel="0" collapsed="false">
      <c r="A4" s="5" t="s">
        <v>238</v>
      </c>
      <c r="B4" s="5" t="s">
        <v>239</v>
      </c>
      <c r="C4" s="5" t="s">
        <v>240</v>
      </c>
      <c r="D4" s="5" t="s">
        <v>241</v>
      </c>
    </row>
    <row r="5" customFormat="false" ht="15" hidden="false" customHeight="true" outlineLevel="0" collapsed="false">
      <c r="A5" s="28" t="s">
        <v>242</v>
      </c>
      <c r="B5" s="28" t="s">
        <v>243</v>
      </c>
      <c r="C5" s="30" t="s">
        <v>244</v>
      </c>
      <c r="D5" s="28" t="s">
        <v>245</v>
      </c>
    </row>
    <row r="6" customFormat="false" ht="15" hidden="false" customHeight="true" outlineLevel="0" collapsed="false">
      <c r="A6" s="28" t="s">
        <v>246</v>
      </c>
      <c r="B6" s="28" t="s">
        <v>247</v>
      </c>
      <c r="C6" s="30" t="s">
        <v>248</v>
      </c>
      <c r="D6" s="28" t="s">
        <v>249</v>
      </c>
    </row>
    <row r="7" customFormat="false" ht="15" hidden="false" customHeight="true" outlineLevel="0" collapsed="false">
      <c r="A7" s="28" t="s">
        <v>250</v>
      </c>
      <c r="B7" s="28" t="s">
        <v>251</v>
      </c>
      <c r="C7" s="30" t="s">
        <v>252</v>
      </c>
      <c r="D7" s="28" t="s">
        <v>253</v>
      </c>
    </row>
    <row r="8" customFormat="false" ht="23.25" hidden="false" customHeight="true" outlineLevel="0" collapsed="false">
      <c r="A8" s="28" t="s">
        <v>254</v>
      </c>
      <c r="B8" s="28" t="s">
        <v>255</v>
      </c>
      <c r="C8" s="30" t="s">
        <v>256</v>
      </c>
      <c r="D8" s="28" t="s">
        <v>257</v>
      </c>
    </row>
    <row r="9" customFormat="false" ht="23.25" hidden="false" customHeight="true" outlineLevel="0" collapsed="false">
      <c r="A9" s="28" t="s">
        <v>258</v>
      </c>
      <c r="B9" s="28" t="s">
        <v>259</v>
      </c>
      <c r="C9" s="30" t="s">
        <v>260</v>
      </c>
      <c r="D9" s="28" t="s">
        <v>261</v>
      </c>
    </row>
    <row r="11" customFormat="false" ht="15" hidden="false" customHeight="true" outlineLevel="0" collapsed="false">
      <c r="A11" s="32" t="s">
        <v>262</v>
      </c>
    </row>
    <row r="12" customFormat="false" ht="15" hidden="false" customHeight="true" outlineLevel="0" collapsed="false">
      <c r="A12" s="5" t="s">
        <v>23</v>
      </c>
      <c r="B12" s="5" t="s">
        <v>198</v>
      </c>
      <c r="C12" s="5" t="s">
        <v>199</v>
      </c>
      <c r="D12" s="5" t="s">
        <v>200</v>
      </c>
      <c r="E12" s="5" t="s">
        <v>201</v>
      </c>
      <c r="F12" s="5" t="s">
        <v>202</v>
      </c>
    </row>
    <row r="13" customFormat="false" ht="15" hidden="false" customHeight="true" outlineLevel="0" collapsed="false">
      <c r="A13" s="45" t="s">
        <v>34</v>
      </c>
      <c r="B13" s="23" t="n">
        <v>-437</v>
      </c>
      <c r="C13" s="23" t="n">
        <v>-738</v>
      </c>
      <c r="D13" s="23" t="n">
        <v>-1326</v>
      </c>
      <c r="E13" s="23" t="n">
        <v>-356</v>
      </c>
      <c r="F13" s="23" t="n">
        <v>-1096</v>
      </c>
    </row>
    <row r="14" customFormat="false" ht="15" hidden="false" customHeight="true" outlineLevel="0" collapsed="false">
      <c r="A14" s="45" t="s">
        <v>35</v>
      </c>
      <c r="B14" s="26" t="n">
        <v>5539</v>
      </c>
      <c r="C14" s="26" t="n">
        <v>5781</v>
      </c>
      <c r="D14" s="26" t="n">
        <v>4986</v>
      </c>
      <c r="E14" s="26" t="n">
        <v>5874</v>
      </c>
      <c r="F14" s="26" t="n">
        <v>4758</v>
      </c>
    </row>
    <row r="15" customFormat="false" ht="15" hidden="false" customHeight="true" outlineLevel="0" collapsed="false">
      <c r="A15" s="45" t="s">
        <v>36</v>
      </c>
      <c r="B15" s="26" t="n">
        <v>38479</v>
      </c>
      <c r="C15" s="26" t="n">
        <v>36816</v>
      </c>
      <c r="D15" s="26" t="n">
        <v>39211</v>
      </c>
      <c r="E15" s="26" t="n">
        <v>32959</v>
      </c>
      <c r="F15" s="26" t="n">
        <v>33222</v>
      </c>
    </row>
    <row r="17" customFormat="false" ht="68.25" hidden="false" customHeight="true" outlineLevel="0" collapsed="false">
      <c r="A17" s="46" t="s">
        <v>263</v>
      </c>
    </row>
    <row r="18" customFormat="false" ht="57" hidden="false" customHeight="true" outlineLevel="0" collapsed="false">
      <c r="A18" s="4" t="s">
        <v>264</v>
      </c>
    </row>
    <row r="19" customFormat="false" ht="45.75" hidden="false" customHeight="true" outlineLevel="0" collapsed="false">
      <c r="A19" s="4" t="s">
        <v>265</v>
      </c>
    </row>
    <row r="20" customFormat="false" ht="79.5" hidden="false" customHeight="true" outlineLevel="0" collapsed="false">
      <c r="A20" s="46" t="s">
        <v>266</v>
      </c>
    </row>
    <row r="21" customFormat="false" ht="57" hidden="false" customHeight="true" outlineLevel="0" collapsed="false">
      <c r="A21" s="4" t="s">
        <v>267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2"/>
    <col collapsed="false" customWidth="true" hidden="false" outlineLevel="0" max="3" min="3" style="0" width="15"/>
    <col collapsed="false" customWidth="true" hidden="false" outlineLevel="0" max="4" min="4" style="0" width="18"/>
    <col collapsed="false" customWidth="true" hidden="false" outlineLevel="0" max="5" min="5" style="0" width="13"/>
    <col collapsed="false" customWidth="true" hidden="false" outlineLevel="0" max="6" min="6" style="0" width="12"/>
  </cols>
  <sheetData>
    <row r="1" customFormat="false" ht="17.35" hidden="false" customHeight="false" outlineLevel="0" collapsed="false">
      <c r="A1" s="47" t="s">
        <v>268</v>
      </c>
    </row>
    <row r="2" customFormat="false" ht="15" hidden="false" customHeight="false" outlineLevel="0" collapsed="false">
      <c r="A2" s="48" t="s">
        <v>269</v>
      </c>
    </row>
    <row r="4" customFormat="false" ht="15" hidden="false" customHeight="false" outlineLevel="0" collapsed="false">
      <c r="A4" s="49" t="s">
        <v>270</v>
      </c>
    </row>
    <row r="5" customFormat="false" ht="15" hidden="false" customHeight="false" outlineLevel="0" collapsed="false">
      <c r="A5" s="5" t="s">
        <v>23</v>
      </c>
      <c r="B5" s="5" t="s">
        <v>198</v>
      </c>
      <c r="C5" s="5" t="s">
        <v>199</v>
      </c>
      <c r="D5" s="5" t="s">
        <v>200</v>
      </c>
      <c r="E5" s="5" t="s">
        <v>201</v>
      </c>
      <c r="F5" s="5" t="s">
        <v>202</v>
      </c>
    </row>
    <row r="6" customFormat="false" ht="15" hidden="false" customHeight="false" outlineLevel="0" collapsed="false">
      <c r="A6" s="45" t="s">
        <v>34</v>
      </c>
      <c r="B6" s="50" t="n">
        <v>-437</v>
      </c>
      <c r="C6" s="50" t="n">
        <v>-738</v>
      </c>
      <c r="D6" s="50" t="n">
        <v>-1326</v>
      </c>
      <c r="E6" s="50" t="n">
        <v>-356</v>
      </c>
      <c r="F6" s="50" t="n">
        <v>-1096</v>
      </c>
    </row>
    <row r="7" customFormat="false" ht="15" hidden="false" customHeight="false" outlineLevel="0" collapsed="false">
      <c r="A7" s="45" t="s">
        <v>35</v>
      </c>
      <c r="B7" s="51" t="n">
        <v>5539</v>
      </c>
      <c r="C7" s="51" t="n">
        <v>5781</v>
      </c>
      <c r="D7" s="51" t="n">
        <v>4986</v>
      </c>
      <c r="E7" s="51" t="n">
        <v>5874</v>
      </c>
      <c r="F7" s="51" t="n">
        <v>4758</v>
      </c>
    </row>
    <row r="8" customFormat="false" ht="15" hidden="false" customHeight="false" outlineLevel="0" collapsed="false">
      <c r="A8" s="45" t="s">
        <v>36</v>
      </c>
      <c r="B8" s="51" t="n">
        <v>38479</v>
      </c>
      <c r="C8" s="51" t="n">
        <v>36816</v>
      </c>
      <c r="D8" s="51" t="n">
        <v>39211</v>
      </c>
      <c r="E8" s="51" t="n">
        <v>32959</v>
      </c>
      <c r="F8" s="51" t="n">
        <v>33222</v>
      </c>
    </row>
    <row r="10" customFormat="false" ht="15" hidden="false" customHeight="false" outlineLevel="0" collapsed="false">
      <c r="A10" s="49" t="s">
        <v>271</v>
      </c>
    </row>
    <row r="11" customFormat="false" ht="15" hidden="false" customHeight="false" outlineLevel="0" collapsed="false">
      <c r="A11" s="5" t="s">
        <v>189</v>
      </c>
      <c r="B11" s="5" t="s">
        <v>272</v>
      </c>
      <c r="C11" s="5" t="s">
        <v>273</v>
      </c>
      <c r="D11" s="5" t="s">
        <v>274</v>
      </c>
      <c r="E11" s="5" t="s">
        <v>275</v>
      </c>
      <c r="F11" s="5" t="s">
        <v>276</v>
      </c>
    </row>
    <row r="12" customFormat="false" ht="15" hidden="false" customHeight="false" outlineLevel="0" collapsed="false">
      <c r="A12" s="6" t="s">
        <v>200</v>
      </c>
      <c r="B12" s="12" t="n">
        <v>5952</v>
      </c>
      <c r="C12" s="52" t="n">
        <v>-1326</v>
      </c>
      <c r="D12" s="53" t="n">
        <v>-0.79</v>
      </c>
      <c r="E12" s="13" t="n">
        <v>0.502288165352882</v>
      </c>
      <c r="F12" s="13" t="n">
        <v>0.110551075268817</v>
      </c>
    </row>
    <row r="13" customFormat="false" ht="15" hidden="false" customHeight="false" outlineLevel="0" collapsed="false">
      <c r="A13" s="6" t="s">
        <v>199</v>
      </c>
      <c r="B13" s="12" t="n">
        <v>4276</v>
      </c>
      <c r="C13" s="52" t="n">
        <v>-738</v>
      </c>
      <c r="D13" s="53" t="n">
        <v>-0.32</v>
      </c>
      <c r="E13" s="13" t="n">
        <v>0.200767954142905</v>
      </c>
      <c r="F13" s="13" t="n">
        <v>0.0965855940130963</v>
      </c>
    </row>
    <row r="14" customFormat="false" ht="15" hidden="false" customHeight="false" outlineLevel="0" collapsed="false">
      <c r="A14" s="6" t="s">
        <v>202</v>
      </c>
      <c r="B14" s="12" t="n">
        <v>2658</v>
      </c>
      <c r="C14" s="52" t="n">
        <v>-1096</v>
      </c>
      <c r="D14" s="53" t="n">
        <v>-0.29</v>
      </c>
      <c r="E14" s="13" t="n">
        <v>0.185356696164486</v>
      </c>
      <c r="F14" s="13" t="n">
        <v>0.107975921745673</v>
      </c>
    </row>
    <row r="15" customFormat="false" ht="15" hidden="false" customHeight="false" outlineLevel="0" collapsed="false">
      <c r="A15" s="6" t="s">
        <v>198</v>
      </c>
      <c r="B15" s="12" t="n">
        <v>2550</v>
      </c>
      <c r="C15" s="52" t="n">
        <v>-437</v>
      </c>
      <c r="D15" s="53" t="n">
        <v>-0.11</v>
      </c>
      <c r="E15" s="13" t="n">
        <v>0.0708708021218476</v>
      </c>
      <c r="F15" s="13" t="n">
        <v>0.0847058823529411</v>
      </c>
    </row>
    <row r="16" customFormat="false" ht="15" hidden="false" customHeight="false" outlineLevel="0" collapsed="false">
      <c r="A16" s="6" t="s">
        <v>201</v>
      </c>
      <c r="B16" s="12" t="n">
        <v>1800</v>
      </c>
      <c r="C16" s="52" t="n">
        <v>-356</v>
      </c>
      <c r="D16" s="53" t="n">
        <v>-0.06</v>
      </c>
      <c r="E16" s="13" t="n">
        <v>0.0407163822178791</v>
      </c>
      <c r="F16" s="13" t="n">
        <v>0.0855555555555555</v>
      </c>
    </row>
    <row r="18" customFormat="false" ht="68.65" hidden="false" customHeight="false" outlineLevel="0" collapsed="false">
      <c r="A18" s="46" t="s">
        <v>277</v>
      </c>
    </row>
    <row r="19" customFormat="false" ht="68.65" hidden="false" customHeight="false" outlineLevel="0" collapsed="false">
      <c r="A19" s="4" t="s">
        <v>278</v>
      </c>
    </row>
    <row r="20" customFormat="false" ht="91" hidden="false" customHeight="false" outlineLevel="0" collapsed="false">
      <c r="A20" s="46" t="s">
        <v>279</v>
      </c>
    </row>
    <row r="21" customFormat="false" ht="68.65" hidden="false" customHeight="false" outlineLevel="0" collapsed="false">
      <c r="A21" s="4" t="s">
        <v>280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2026-06-06T13:46:25Z</dcterms:created>
  <dc:creator>openpyxl</dc:creator>
  <dc:description/>
  <dc:language>en-US</dc:language>
  <cp:lastModifiedBy/>
  <dcterms:modified xsi:type="dcterms:W3CDTF">2026-06-06T17:13:20Z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