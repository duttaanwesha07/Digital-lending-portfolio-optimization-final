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<sst xmlns="http://schemas.openxmlformats.org/spreadsheetml/2006/main" count="693" uniqueCount="335">
  <si>
    <t xml:space="preserve">Assumptions Log — Digital Lending Portfolio Optimization</t>
  </si>
  <si>
    <t xml:space="preserve">Workstream B — Synthetic Data Design  |  Companion to the Data Design Specification  |  Every parameter chosen from Step 5 onward, plus open design decisions, gets one row here.</t>
  </si>
  <si>
    <t xml:space="preserve">Status key:  Locked = fixed input  |  Open = to be decided at the noted step  |  Proposed = candidate value awaiting sign-off  |  Superseded = replaced (keep for audit trail)</t>
  </si>
  <si>
    <t xml:space="preserve">ID</t>
  </si>
  <si>
    <t xml:space="preserve">Category</t>
  </si>
  <si>
    <t xml:space="preserve">Assumption / Parameter</t>
  </si>
  <si>
    <t xml:space="preserve">Value / Rule</t>
  </si>
  <si>
    <t xml:space="preserve">Rationale</t>
  </si>
  <si>
    <t xml:space="preserve">Source</t>
  </si>
  <si>
    <t xml:space="preserve">Owner</t>
  </si>
  <si>
    <t xml:space="preserve">Status</t>
  </si>
  <si>
    <t xml:space="preserve">Lock / Locked at</t>
  </si>
  <si>
    <t xml:space="preserve">Date</t>
  </si>
  <si>
    <t xml:space="preserve">A-001</t>
  </si>
  <si>
    <t xml:space="preserve">Definition</t>
  </si>
  <si>
    <t xml:space="preserve">Days Past Due (DPD)</t>
  </si>
  <si>
    <t xml:space="preserve">Days past due, measured from the oldest unpaid installment</t>
  </si>
  <si>
    <t xml:space="preserve">Standardises all delinquency measurement across tables</t>
  </si>
  <si>
    <t xml:space="preserve">Charter §4</t>
  </si>
  <si>
    <t xml:space="preserve">Risk Consultant</t>
  </si>
  <si>
    <t xml:space="preserve">Locked</t>
  </si>
  <si>
    <t xml:space="preserve">WS A</t>
  </si>
  <si>
    <t xml:space="preserve">2026-06-01</t>
  </si>
  <si>
    <t xml:space="preserve">A-002</t>
  </si>
  <si>
    <t xml:space="preserve">Default</t>
  </si>
  <si>
    <t xml:space="preserve">Loan that has EVER reached 90+ DPD (event; sticky once flagged)</t>
  </si>
  <si>
    <t xml:space="preserve">Charter definition; drives default_flag and all loss metrics</t>
  </si>
  <si>
    <t xml:space="preserve">A-003</t>
  </si>
  <si>
    <t xml:space="preserve">Delinquency</t>
  </si>
  <si>
    <t xml:space="preserve">Loan that is CURRENTLY 1+ DPD (status; can roll forward or cure)</t>
  </si>
  <si>
    <t xml:space="preserve">Charter definition; basis for bucket migration / roll rates</t>
  </si>
  <si>
    <t xml:space="preserve">A-004</t>
  </si>
  <si>
    <t xml:space="preserve">DPD buckets</t>
  </si>
  <si>
    <t xml:space="preserve">Current / 1–30 / 31–60 / 61–90 / 90+</t>
  </si>
  <si>
    <t xml:space="preserve">Charter definition; bucket structure for roll-rate analysis</t>
  </si>
  <si>
    <t xml:space="preserve">A-005</t>
  </si>
  <si>
    <t xml:space="preserve">Vintage</t>
  </si>
  <si>
    <t xml:space="preserve">Loans grouped by origination month</t>
  </si>
  <si>
    <t xml:space="preserve">Charter definition; unit for cohort / vintage analysis</t>
  </si>
  <si>
    <t xml:space="preserve">Data Lead</t>
  </si>
  <si>
    <t xml:space="preserve">A-006</t>
  </si>
  <si>
    <t xml:space="preserve">Cohort observation window</t>
  </si>
  <si>
    <t xml:space="preserve">18–24 months of monthly snapshots</t>
  </si>
  <si>
    <t xml:space="preserve">Charter definition; sets panel depth and vintage spread</t>
  </si>
  <si>
    <t xml:space="preserve">A-007</t>
  </si>
  <si>
    <t xml:space="preserve">Cure</t>
  </si>
  <si>
    <t xml:space="preserve">LOCKED — delinquent loan returns to Current on resumed full payment clearing arrears; cure probability falls with bucket depth; default_flag (ever 90+) stays 1 regardless</t>
  </si>
  <si>
    <t xml:space="preserve">Realistic roll/cure; preserves default as an event not a status</t>
  </si>
  <si>
    <t xml:space="preserve">WS A → Step 7</t>
  </si>
  <si>
    <t xml:space="preserve">Step 7</t>
  </si>
  <si>
    <t xml:space="preserve">2026-06-03</t>
  </si>
  <si>
    <t xml:space="preserve">A-008</t>
  </si>
  <si>
    <t xml:space="preserve">Write-off threshold</t>
  </si>
  <si>
    <t xml:space="preserve">LOCKED — 180 DPD → loan_status Written-off; panel emission stops; exposure crystallises as loss (recovery/value in §9)</t>
  </si>
  <si>
    <t xml:space="preserve">Standard charge-off point; terminates the panel</t>
  </si>
  <si>
    <t xml:space="preserve">A-009</t>
  </si>
  <si>
    <t xml:space="preserve">Formula</t>
  </si>
  <si>
    <t xml:space="preserve">value_proxy (risk-adj. contribution, ₹/loan)</t>
  </si>
  <si>
    <t xml:space="preserve">LOCKED — value_proxy = NII + Fee − Loss − Servicing − CAC. NII = Σ (APR−CoF)/12 × opening_balance over performing periods; Fee = fee_rate×ticket; Loss = LGD×EAD@writeoff (written-off) / LGD×outstanding (currently 90+) / 0 else; Servicing = ₹80×active months; CAC = cac if loan_sequence=1 else 0</t>
  </si>
  <si>
    <t xml:space="preserve">Single controlled computation (one number, one source); see §9.3</t>
  </si>
  <si>
    <t xml:space="preserve">WS A → Step 8</t>
  </si>
  <si>
    <t xml:space="preserve">EM / Risk</t>
  </si>
  <si>
    <t xml:space="preserve">Step 8</t>
  </si>
  <si>
    <t xml:space="preserve">A-010</t>
  </si>
  <si>
    <t xml:space="preserve">EWS prediction window</t>
  </si>
  <si>
    <t xml:space="preserve">LOCKED — EWS target = transition to 90+ DPD within a 90-day forward window; behavioural deterioration onset 2–4 months pre-default</t>
  </si>
  <si>
    <t xml:space="preserve">Sets the EWS target horizon and the behaviour-leads-default lead window</t>
  </si>
  <si>
    <t xml:space="preserve">WS A → Step 5</t>
  </si>
  <si>
    <t xml:space="preserve">Step 5</t>
  </si>
  <si>
    <t xml:space="preserve">A-011</t>
  </si>
  <si>
    <t xml:space="preserve">Scope</t>
  </si>
  <si>
    <t xml:space="preserve">Approval-optimisation basis (Q4) — flag F1</t>
  </si>
  <si>
    <t xml:space="preserve">LOCKED — simulate cut-off shifts on the approved book using origination_risk_grade; no declined-applications table; approval_decision not generated</t>
  </si>
  <si>
    <t xml:space="preserve">Avoids speculative counterfactual outcomes; standard, transparent, defensible (overridable)</t>
  </si>
  <si>
    <t xml:space="preserve">Step 2 → Step 3</t>
  </si>
  <si>
    <t xml:space="preserve">Risk / Data</t>
  </si>
  <si>
    <t xml:space="preserve">Step 3</t>
  </si>
  <si>
    <t xml:space="preserve">A-012</t>
  </si>
  <si>
    <t xml:space="preserve">value_proxy inputs &amp; formula — flag F2</t>
  </si>
  <si>
    <t xml:space="preserve">RESOLVED — inputs pinned in Step 6 (A-044/A-048/A-049/A-050) and formula locked in Step 8 (A-009)</t>
  </si>
  <si>
    <t xml:space="preserve">F2 fully closed; value_proxy is now fully specified</t>
  </si>
  <si>
    <t xml:space="preserve">Step 2 → Step 6/8</t>
  </si>
  <si>
    <t xml:space="preserve">A-013</t>
  </si>
  <si>
    <t xml:space="preserve">Nice-to-have variable retention — flag F3</t>
  </si>
  <si>
    <t xml:space="preserve">OPEN — age, relationship_tenure_mo, prepayment_flag, credit_utilisation, bureau_inquiry_velocity, app_engagement kept provisionally</t>
  </si>
  <si>
    <t xml:space="preserve">Drop any that earn no analytical / predictive lift; revisit at EDA / EWS validation</t>
  </si>
  <si>
    <t xml:space="preserve">Step 2 map</t>
  </si>
  <si>
    <t xml:space="preserve">Open</t>
  </si>
  <si>
    <t xml:space="preserve">Step 4 / F</t>
  </si>
  <si>
    <t xml:space="preserve">A-014</t>
  </si>
  <si>
    <t xml:space="preserve">Architecture</t>
  </si>
  <si>
    <t xml:space="preserve">Repeat-borrower logic</t>
  </si>
  <si>
    <t xml:space="preserve">Repeats are later originations inheriting the customer's latent risk with mild drift; identified by derived loan_sequence (1 = first)</t>
  </si>
  <si>
    <t xml:space="preserve">Honours brief's repeat borrowers; defines the customers→loans hierarchy</t>
  </si>
  <si>
    <t xml:space="preserve">A-015</t>
  </si>
  <si>
    <t xml:space="preserve">Distribution</t>
  </si>
  <si>
    <t xml:space="preserve">Repeat-borrower split</t>
  </si>
  <si>
    <t xml:space="preserve">LOCKED — 80% / 16% / 4% of customers hold 1 / 2 / 3 loans (≈ 1.24 loans per customer)</t>
  </si>
  <si>
    <t xml:space="preserve">Calibrates ~50,000 loans from ~40,000 customers</t>
  </si>
  <si>
    <t xml:space="preserve">Step 3 → Step 6</t>
  </si>
  <si>
    <t xml:space="preserve">Step 6</t>
  </si>
  <si>
    <t xml:space="preserve">A-016</t>
  </si>
  <si>
    <t xml:space="preserve">Rule</t>
  </si>
  <si>
    <t xml:space="preserve">CAC attribution for repeats</t>
  </si>
  <si>
    <t xml:space="preserve">Full cac charged to the first loan (loan_sequence = 1); repeat loans bear zero CAC</t>
  </si>
  <si>
    <t xml:space="preserve">Prevents CAC double-count in per-loan unit economics; feeds value_proxy</t>
  </si>
  <si>
    <t xml:space="preserve">A-017</t>
  </si>
  <si>
    <t xml:space="preserve">Acquisition-field grain</t>
  </si>
  <si>
    <t xml:space="preserve">acquisition_channel and cac at customer grain; approval_tat_hrs at loan grain; first_time_borrower = new-to-credit (customer, static)</t>
  </si>
  <si>
    <t xml:space="preserve">Aligns CLV / CAC-payback to the customer; avoids per-loan CAC duplication</t>
  </si>
  <si>
    <t xml:space="preserve">A-018</t>
  </si>
  <si>
    <t xml:space="preserve">Derivation discipline</t>
  </si>
  <si>
    <t xml:space="preserve">Four classes: Independent root / Risk-engine / Derived-computed / Structural; risk-engine &amp; derived fields are NEVER independently re-randomised</t>
  </si>
  <si>
    <t xml:space="preserve">Preserves built-in correlations; prevents inconsistency and EWS leakage</t>
  </si>
  <si>
    <t xml:space="preserve">Step 4</t>
  </si>
  <si>
    <t xml:space="preserve">A-019</t>
  </si>
  <si>
    <t xml:space="preserve">Internal latent-risk field</t>
  </si>
  <si>
    <t xml:space="preserve">Retain true_latent_risk (z) as an internal, non-delivered field for Gate-1 validation; excluded from the analytical dataset</t>
  </si>
  <si>
    <t xml:space="preserve">Lets the team verify correlations hold; not used for modelling</t>
  </si>
  <si>
    <t xml:space="preserve">A-020</t>
  </si>
  <si>
    <t xml:space="preserve">credit_quality &amp; grade as observations of z</t>
  </si>
  <si>
    <t xml:space="preserve">credit_quality_indicator and origination_risk_grade are functions of latent z (+ noise), not independent roots</t>
  </si>
  <si>
    <t xml:space="preserve">Makes bureau grade realistically imperfect; engine specified in §6</t>
  </si>
  <si>
    <t xml:space="preserve">A-021</t>
  </si>
  <si>
    <t xml:space="preserve">Relationship</t>
  </si>
  <si>
    <t xml:space="preserve">Latent risk z</t>
  </si>
  <si>
    <t xml:space="preserve">z = signed-weighted sum of demographics + noise, standardised ~N(0,1); higher z = safer; profile explains ~40–50% of variance</t>
  </si>
  <si>
    <t xml:space="preserve">Causal backbone; weaker profile → lower z → higher risk</t>
  </si>
  <si>
    <t xml:space="preserve">A-022</t>
  </si>
  <si>
    <t xml:space="preserve">z → grade / bureau mapping</t>
  </si>
  <si>
    <t xml:space="preserve">credit_quality_indicator &amp; origination_risk_grade = discretise(z + independent noise); cut-points hit grade mix (§7)</t>
  </si>
  <si>
    <t xml:space="preserve">Realistic, imperfect grading correlated with true risk</t>
  </si>
  <si>
    <t xml:space="preserve">A-023</t>
  </si>
  <si>
    <t xml:space="preserve">Risk-based pricing &amp; terms</t>
  </si>
  <si>
    <t xml:space="preserve">APR = product base + grade premium + noise; worse grade → higher APR + mildly tighter ticket/tenure</t>
  </si>
  <si>
    <t xml:space="preserve">Honours 'higher risk → tighter terms / higher pricing'</t>
  </si>
  <si>
    <t xml:space="preserve">A-024</t>
  </si>
  <si>
    <t xml:space="preserve">Default hazard</t>
  </si>
  <si>
    <t xml:space="preserve">h(t) = baseline(product,tenure) × exp(−γz) × seasoning(t) × macro(cohort,t) × stress_mult; 90+ ⇒ default (sticky); small macro factor differentiates vintages</t>
  </si>
  <si>
    <t xml:space="preserve">Default rises as z falls; calibrated to blended target (§7)</t>
  </si>
  <si>
    <t xml:space="preserve">A-025</t>
  </si>
  <si>
    <t xml:space="preserve">Behaviour leads default (CRITICAL)</t>
  </si>
  <si>
    <t xml:space="preserve">Per-customer stress s(t) ramps up 2–4 mo pre-default and drives the behavioural signals; a fraction of stress episodes cure without default (false positives)</t>
  </si>
  <si>
    <t xml:space="preserve">Gives the EWS learnable lead time; the single most important design choice</t>
  </si>
  <si>
    <t xml:space="preserve">A-026</t>
  </si>
  <si>
    <t xml:space="preserve">Channel ~ z selection</t>
  </si>
  <si>
    <t xml:space="preserve">acquisition_channel assigned conditioned on z (paid/DSA skew slightly lower z; organic/referral higher z); weak tilt; cac &amp; approval_tat_hrs channel-driven</t>
  </si>
  <si>
    <t xml:space="preserve">Honours 'faster/cheaper growth may carry higher risk' as a composition effect</t>
  </si>
  <si>
    <t xml:space="preserve">A-027</t>
  </si>
  <si>
    <t xml:space="preserve">region_type mix</t>
  </si>
  <si>
    <t xml:space="preserve">Urban 45% / Semi-urban 40% / Rural 15%</t>
  </si>
  <si>
    <t xml:space="preserve">Brief's urban + semi-urban focus, some rural reach</t>
  </si>
  <si>
    <t xml:space="preserve">A-028</t>
  </si>
  <si>
    <t xml:space="preserve">income_proxy_band mix</t>
  </si>
  <si>
    <t xml:space="preserve">Low 35% / Mid 45% / High 20%</t>
  </si>
  <si>
    <t xml:space="preserve">Mass-market skew typical of digital lending</t>
  </si>
  <si>
    <t xml:space="preserve">A-029</t>
  </si>
  <si>
    <t xml:space="preserve">employment_type mix</t>
  </si>
  <si>
    <t xml:space="preserve">Salaried 45% / Self-employed 25% / Gig 18% / Informal 12%</t>
  </si>
  <si>
    <t xml:space="preserve">Mix of formal and informal; rising gig share</t>
  </si>
  <si>
    <t xml:space="preserve">A-030</t>
  </si>
  <si>
    <t xml:space="preserve">age distribution</t>
  </si>
  <si>
    <t xml:space="preserve">18–65, right-skewed, median ≈ 32</t>
  </si>
  <si>
    <t xml:space="preserve">Young, digitally-native borrower base</t>
  </si>
  <si>
    <t xml:space="preserve">A-031</t>
  </si>
  <si>
    <t xml:space="preserve">first_time_borrower (new-to-credit)</t>
  </si>
  <si>
    <t xml:space="preserve">≈ 35% of customers</t>
  </si>
  <si>
    <t xml:space="preserve">Brief: first-time borrowers &amp; underbanked segments</t>
  </si>
  <si>
    <t xml:space="preserve">A-032</t>
  </si>
  <si>
    <t xml:space="preserve">product mix</t>
  </si>
  <si>
    <t xml:space="preserve">Personal 45% / BNPL 35% / SME 20%</t>
  </si>
  <si>
    <t xml:space="preserve">Core unsecured weighting with BNPL scale</t>
  </si>
  <si>
    <t xml:space="preserve">A-033</t>
  </si>
  <si>
    <t xml:space="preserve">ticket-size ranges (₹)</t>
  </si>
  <si>
    <t xml:space="preserve">BNPL 2k–50k (med 12k); Personal 30k–500k (med 120k); SME 200k–5,000k (med 800k)</t>
  </si>
  <si>
    <t xml:space="preserve">Small/short BNPL vs large/long SME</t>
  </si>
  <si>
    <t xml:space="preserve">A-034</t>
  </si>
  <si>
    <t xml:space="preserve">tenure ranges (months)</t>
  </si>
  <si>
    <t xml:space="preserve">BNPL 1–6 (mode 3); Personal 6–36 (mode 18); SME 6–48 (mode 24)</t>
  </si>
  <si>
    <t xml:space="preserve">Product-appropriate tenor bands</t>
  </si>
  <si>
    <t xml:space="preserve">A-035</t>
  </si>
  <si>
    <t xml:space="preserve">Distribution / target</t>
  </si>
  <si>
    <t xml:space="preserve">origination grade mix</t>
  </si>
  <si>
    <t xml:space="preserve">A 15% / B 30% / C 30% / D 18% / E 7%</t>
  </si>
  <si>
    <t xml:space="preserve">Approved-book grade distribution (z cut-points hit this)</t>
  </si>
  <si>
    <t xml:space="preserve">A-036</t>
  </si>
  <si>
    <t xml:space="preserve">risk-based APR ranges</t>
  </si>
  <si>
    <t xml:space="preserve">BNPL 24–48%; Personal 16–36%; SME 14–28%; ≈ +3–4pp per worse grade</t>
  </si>
  <si>
    <t xml:space="preserve">Honours higher risk → higher pricing</t>
  </si>
  <si>
    <t xml:space="preserve">A-037</t>
  </si>
  <si>
    <t xml:space="preserve">channel mix</t>
  </si>
  <si>
    <t xml:space="preserve">Digital 35% / Partner-embedded 25% / Referral 15% / DSA 15% / Organic 10%</t>
  </si>
  <si>
    <t xml:space="preserve">Realistic digital-lending acquisition split</t>
  </si>
  <si>
    <t xml:space="preserve">A-038</t>
  </si>
  <si>
    <t xml:space="preserve">CAC by channel (₹)</t>
  </si>
  <si>
    <t xml:space="preserve">Digital 1,200 / Partner 600 / Referral 300 / DSA 1,000 / Organic 150</t>
  </si>
  <si>
    <t xml:space="preserve">Paid channels cost more; organic cheapest</t>
  </si>
  <si>
    <t xml:space="preserve">A-039</t>
  </si>
  <si>
    <t xml:space="preserve">approval_tat by channel</t>
  </si>
  <si>
    <t xml:space="preserve">Partner 1–4h / Digital 2–6h / Organic 4–24h / Referral 6–24h / DSA 24–72h</t>
  </si>
  <si>
    <t xml:space="preserve">Embedded/digital fastest; agent slowest</t>
  </si>
  <si>
    <t xml:space="preserve">A-040</t>
  </si>
  <si>
    <t xml:space="preserve">channel z-tilt (z s.d.)</t>
  </si>
  <si>
    <t xml:space="preserve">Digital −0.10 / DSA −0.15 / Partner 0 / Referral +0.10 / Organic +0.10</t>
  </si>
  <si>
    <t xml:space="preserve">Weak composition tilt (§6.7)</t>
  </si>
  <si>
    <t xml:space="preserve">A-041</t>
  </si>
  <si>
    <t xml:space="preserve">Target</t>
  </si>
  <si>
    <t xml:space="preserve">blended 90+ default</t>
  </si>
  <si>
    <t xml:space="preserve">≈ 7.5% (acceptable range 6–9%)</t>
  </si>
  <si>
    <t xml:space="preserve">Headline portfolio risk calibration</t>
  </si>
  <si>
    <t xml:space="preserve">A-042</t>
  </si>
  <si>
    <t xml:space="preserve">90+ default by product</t>
  </si>
  <si>
    <t xml:space="preserve">BNPL ≈ 10% / Personal ≈ 7% / SME ≈ 5%</t>
  </si>
  <si>
    <t xml:space="preserve">BNPL higher-frequency, SME lower-frequency</t>
  </si>
  <si>
    <t xml:space="preserve">A-043</t>
  </si>
  <si>
    <t xml:space="preserve">90+ default by grade</t>
  </si>
  <si>
    <t xml:space="preserve">A 1.5% / B 3.5% / C 7% / D 14% / E 26% (blends ≈ 7.7%)</t>
  </si>
  <si>
    <t xml:space="preserve">Material grade separation; jointly calibrated with A-042</t>
  </si>
  <si>
    <t xml:space="preserve">A-044</t>
  </si>
  <si>
    <t xml:space="preserve">Assumption</t>
  </si>
  <si>
    <t xml:space="preserve">LGD (severity) by product</t>
  </si>
  <si>
    <t xml:space="preserve">BNPL 40% / Personal 65% / SME 75%</t>
  </si>
  <si>
    <t xml:space="preserve">Unsecured loss severity by product (value_proxy input, F2)</t>
  </si>
  <si>
    <t xml:space="preserve">A-045</t>
  </si>
  <si>
    <t xml:space="preserve">vintage spread &amp; macro factor</t>
  </si>
  <si>
    <t xml:space="preserve">Originations over 18–24 mo, mild growth (newer cohorts ≈10–15% larger); macro hazard ±1–2pp</t>
  </si>
  <si>
    <t xml:space="preserve">Honours 'newer cohorts may behave differently'</t>
  </si>
  <si>
    <t xml:space="preserve">A-046</t>
  </si>
  <si>
    <t xml:space="preserve">EWS false-positive realism</t>
  </si>
  <si>
    <t xml:space="preserve">≈ 35% of elevated-stress episodes cure without reaching 90+</t>
  </si>
  <si>
    <t xml:space="preserve">Keeps the EWS strong-but-imperfect (§6.6)</t>
  </si>
  <si>
    <t xml:space="preserve">A-047</t>
  </si>
  <si>
    <t xml:space="preserve">behavioural baselines</t>
  </si>
  <si>
    <t xml:space="preserve">cashflow_consistency ≈0.75; balance_volatility ≈0.20; nach_bounce ≈0; shock ≈3% months (normal state)</t>
  </si>
  <si>
    <t xml:space="preserve">Normal-state anchors; stress response per §7.9</t>
  </si>
  <si>
    <t xml:space="preserve">A-048</t>
  </si>
  <si>
    <t xml:space="preserve">fee revenue</t>
  </si>
  <si>
    <t xml:space="preserve">≈ 1–2% of ticket at origination (BNPL largely merchant-subsidised)</t>
  </si>
  <si>
    <t xml:space="preserve">value_proxy revenue input (F2)</t>
  </si>
  <si>
    <t xml:space="preserve">A-049</t>
  </si>
  <si>
    <t xml:space="preserve">servicing cost</t>
  </si>
  <si>
    <t xml:space="preserve">≈ ₹80 per active loan-month</t>
  </si>
  <si>
    <t xml:space="preserve">value_proxy cost input (F2)</t>
  </si>
  <si>
    <t xml:space="preserve">A-050</t>
  </si>
  <si>
    <t xml:space="preserve">cost of funds</t>
  </si>
  <si>
    <t xml:space="preserve">≈ 11% annual</t>
  </si>
  <si>
    <t xml:space="preserve">value_proxy / NIM-after-loss input (F2)</t>
  </si>
  <si>
    <t xml:space="preserve">A-051</t>
  </si>
  <si>
    <t xml:space="preserve">Time</t>
  </si>
  <si>
    <t xml:space="preserve">Observation window &amp; snapshot</t>
  </si>
  <si>
    <t xml:space="preserve">24-month calendar (M1–M24); snapshot = end of M24; vintage = origination month; long-tenor loans right-censored</t>
  </si>
  <si>
    <t xml:space="preserve">Sets panel depth and seasoned-vs-recent mix</t>
  </si>
  <si>
    <t xml:space="preserve">A-052</t>
  </si>
  <si>
    <t xml:space="preserve">Origination spread &amp; cohort drift</t>
  </si>
  <si>
    <t xml:space="preserve">24 monthly vintages, ~10–15% growth; mix broadly stable with slight higher-risk drift + macro factor in recent cohorts; newest 1–2 vintages immature</t>
  </si>
  <si>
    <t xml:space="preserve">Produces 'newer cohorts behave differently' (R10)</t>
  </si>
  <si>
    <t xml:space="preserve">A-053</t>
  </si>
  <si>
    <t xml:space="preserve">MOB &amp; seasoning</t>
  </si>
  <si>
    <t xml:space="preserve">MOB = months since origination (to snapshot or closure); seasoning humps BNPL ~1–3, Personal ~4–12, SME ~6–18 MOB</t>
  </si>
  <si>
    <t xml:space="preserve">Vintage-curve and hazard indexing</t>
  </si>
  <si>
    <t xml:space="preserve">A-054</t>
  </si>
  <si>
    <t xml:space="preserve">Panel</t>
  </si>
  <si>
    <t xml:space="preserve">Emission &amp; termination rule</t>
  </si>
  <si>
    <t xml:space="preserve">One row per scheduled period until Closed (maturity) / Closed (prepaid) / Written-off (180 DPD) / Active-censored at M24; rows = min(tenure, to-termination, to-snapshot)</t>
  </si>
  <si>
    <t xml:space="preserve">Defines repayment panel size and loan_status sources</t>
  </si>
  <si>
    <t xml:space="preserve">A-055</t>
  </si>
  <si>
    <t xml:space="preserve">Gate-1 target</t>
  </si>
  <si>
    <t xml:space="preserve">Vintage-curve ageing expectations</t>
  </si>
  <si>
    <t xml:space="preserve">Cumulative default non-decreasing in MOB; older vintages more matured; seasoning hump then decline; BNPL fast/flat, SME slow</t>
  </si>
  <si>
    <t xml:space="preserve">Concrete checkable Gate-1 behaviour</t>
  </si>
  <si>
    <t xml:space="preserve">A-056</t>
  </si>
  <si>
    <t xml:space="preserve">default_flag</t>
  </si>
  <si>
    <t xml:space="preserve">Set to 1 if DPD ever reaches ≥ 90 at any period; loan-level; sticky; NOT reversed by cure</t>
  </si>
  <si>
    <t xml:space="preserve">Charter event definition (A-002)</t>
  </si>
  <si>
    <t xml:space="preserve">A-057</t>
  </si>
  <si>
    <t xml:space="preserve">loan_status (as-of snapshot)</t>
  </si>
  <si>
    <t xml:space="preserve">Precedence Written-off (180 DPD) &gt; Closed (matured/prepaid) &gt; Active; independent dimension from default_flag</t>
  </si>
  <si>
    <t xml:space="preserve">Precise status mapping; avoids conflating default with write-off</t>
  </si>
  <si>
    <t xml:space="preserve">A-058</t>
  </si>
  <si>
    <t xml:space="preserve">Metric</t>
  </si>
  <si>
    <t xml:space="preserve">Derived value metrics</t>
  </si>
  <si>
    <t xml:space="preserve">CLV = Σ value_proxy per customer; CAC payback = cac ÷ monthly contribution; risk-adj. return = NIM-after-loss = (ΣNII−ΣLoss)÷Σavg-outstanding (RAROC proxied; capital out of scope)</t>
  </si>
  <si>
    <t xml:space="preserve">Charter success metrics from value_proxy components</t>
  </si>
  <si>
    <t xml:space="preserve">A-059</t>
  </si>
  <si>
    <t xml:space="preserve">Loss treatment</t>
  </si>
  <si>
    <t xml:space="preserve">Realised loss for written-off; provision (LGD×outstanding) for currently-90+; zero for cured/never-defaulted; simplified, NOT IFRS 9 ECL (out of scope). Forward-looking PD×LGD×EAD used only for pricing in WS G</t>
  </si>
  <si>
    <t xml:space="preserve">Keeps loss realised and in-scope</t>
  </si>
  <si>
    <t xml:space="preserve">A-060</t>
  </si>
  <si>
    <t xml:space="preserve">Gate</t>
  </si>
  <si>
    <t xml:space="preserve">Gate 1 tolerances</t>
  </si>
  <si>
    <t xml:space="preserve">Mixes ±3pp; blended default 6–9%; by-product ±1.5pp; by-grade ±20% rel. &amp; strictly monotonic; relationships hold directionally &amp; statistically; EWS median lead ≥ 60 days</t>
  </si>
  <si>
    <t xml:space="preserve">Defines the acceptance bar, written before generation</t>
  </si>
  <si>
    <t xml:space="preserve">Step 9</t>
  </si>
  <si>
    <t xml:space="preserve">PMO / Data</t>
  </si>
  <si>
    <t xml:space="preserve">A-061</t>
  </si>
  <si>
    <t xml:space="preserve">Gate 1 decision rule</t>
  </si>
  <si>
    <t xml:space="preserve">PASS iff all MUST checks pass; SHOULD waivable with logged rationale; any MUST fail → fix &amp; regenerate (do not proceed to EDA); on PASS freeze seed and hand to WS D</t>
  </si>
  <si>
    <t xml:space="preserve">Governs the go/no-go from data generation to analysis</t>
  </si>
  <si>
    <t xml:space="preserve">PMO</t>
  </si>
  <si>
    <t xml:space="preserve">A-062</t>
  </si>
  <si>
    <t xml:space="preserve">Reproducibility</t>
  </si>
  <si>
    <t xml:space="preserve">Master seed &amp; determinism</t>
  </si>
  <si>
    <t xml:space="preserve">Seed = 20260603 fixed; per-table/per-customer sub-streams derived; fixed generation order; run manifest records seed + spec version + Gate-1 result</t>
  </si>
  <si>
    <t xml:space="preserve">Enables deterministic regeneration and traceability</t>
  </si>
  <si>
    <t xml:space="preserve">Step 10</t>
  </si>
  <si>
    <t xml:space="preserve">A-063</t>
  </si>
  <si>
    <t xml:space="preserve">Convention</t>
  </si>
  <si>
    <t xml:space="preserve">Formats, naming &amp; units</t>
  </si>
  <si>
    <t xml:space="preserve">Tables as CSV + Parquet (Parquet authoritative); snake_case per §5; IDs C+6 / L+7; ISO-8601 dates, YYYY-MM months; 0/1 flags; INR whole rupees; rates annual %</t>
  </si>
  <si>
    <t xml:space="preserve">Single set of conventions for Workstream C</t>
  </si>
  <si>
    <t xml:space="preserve">A-064</t>
  </si>
  <si>
    <t xml:space="preserve">Governance</t>
  </si>
  <si>
    <t xml:space="preserve">Workstream B completion &amp; handoff</t>
  </si>
  <si>
    <t xml:space="preserve">Self-review vs Steps 2–9 passed; only A-013 residual (deferred to EDA); spec v1.0 + log + dictionary + Gate-1 test handed to Workstream C</t>
  </si>
  <si>
    <t xml:space="preserve">Marks Workstream B complete; C implements deterministically</t>
  </si>
  <si>
    <t xml:space="preserve">EM / PMO</t>
  </si>
  <si>
    <t xml:space="preserve">A-065</t>
  </si>
  <si>
    <t xml:space="preserve">Refinement</t>
  </si>
  <si>
    <t xml:space="preserve">outstanding_balance materialised</t>
  </si>
  <si>
    <t xml:space="preserve">Per-period opening principal (from amortisation, adjusted for actual payments) stored in repayments; basis for NII, EAD@write-off and average outstanding</t>
  </si>
  <si>
    <t xml:space="preserve">Ensures value_proxy / EAD / NIM compute one way only</t>
  </si>
  <si>
    <t xml:space="preserve">v1.1</t>
  </si>
  <si>
    <t xml:space="preserve">A-066</t>
  </si>
  <si>
    <t xml:space="preserve">Default philosophy by product</t>
  </si>
  <si>
    <t xml:space="preserve">BNPL: thin-file/impulse, front-loaded (MOB 1-3), fast roll, low severity. Personal: income/employment shock &amp; over-leverage, mid-life hump (MOB ~4-12, peak 6-9), gradual roll + early cure, moderate severity. SME: business cyclicality, later/longer, lumpy, high severity</t>
  </si>
  <si>
    <t xml:space="preserve">Personal default character emphasised; generator shapes hazard/seasoning/cure per product</t>
  </si>
  <si>
    <t xml:space="preserve">A-067</t>
  </si>
  <si>
    <t xml:space="preserve">Prepayment propensity</t>
  </si>
  <si>
    <t xml:space="preserve">Lifetime prepayment among performers ≈ Personal 15% / SME 10% / BNPL 2%; higher for grades A-B; closes loan early (Closed), truncates panel, reduces realised interest</t>
  </si>
  <si>
    <t xml:space="preserve">Was unparameterised; now pinned (surfaced by backtest)</t>
  </si>
  <si>
    <t xml:space="preserve">A-068</t>
  </si>
  <si>
    <t xml:space="preserve">Pre-generation backtest</t>
  </si>
  <si>
    <t xml:space="preserve">Parameter completeness audit (Appendix B): every parameter Pinned / Solve-to-target / Shape-specified; default-target reconciliation verified (by-product ≈7.65%, by-grade ≈7.72%, both in 6-9%); spec cleared for WS C</t>
  </si>
  <si>
    <t xml:space="preserve">No parameter left unchecked before generation</t>
  </si>
  <si>
    <t xml:space="preserve">↓  New rows appended below as parameters are chosen (complete — Workstream B closed). Keep IDs sequential; never overwrite a Locked row — mark it Superseded and add a new one.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</si>
</sst>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33485B"/>
      <name val="Arial"/>
      <family val="0"/>
      <charset val="1"/>
    </font>
    <font>
      <sz val="9"/>
      <color rgb="FF8090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B33"/>
      <name val="Arial"/>
      <family val="0"/>
      <charset val="1"/>
    </font>
    <font>
      <b val="true"/>
      <sz val="10"/>
      <color rgb="FF1E7A46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i val="true"/>
      <sz val="9"/>
      <color rgb="FF8090A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485B"/>
      </patternFill>
    </fill>
    <fill>
      <patternFill patternType="solid">
        <fgColor rgb="FFEAF0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C"/>
      </left>
      <right style="thin">
        <color rgb="FFC7D2DC"/>
      </right>
      <top style="thin">
        <color rgb="FFC7D2DC"/>
      </top>
      <bottom style="thin">
        <color rgb="FFC7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1E7A46"/>
      <rgbColor rgb="FFC0C0C0"/>
      <rgbColor rgb="FF808080"/>
      <rgbColor rgb="FF9999FF"/>
      <rgbColor rgb="FF993366"/>
      <rgbColor rgb="FFFFFFCC"/>
      <rgbColor rgb="FFEAF0F6"/>
      <rgbColor rgb="FF660066"/>
      <rgbColor rgb="FFFF8080"/>
      <rgbColor rgb="FF0066CC"/>
      <rgbColor rgb="FFC7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090A0"/>
      <rgbColor rgb="FF1F3A5F"/>
      <rgbColor rgb="FF339966"/>
      <rgbColor rgb="FF003300"/>
      <rgbColor rgb="FF333300"/>
      <rgbColor rgb="FF993300"/>
      <rgbColor rgb="FF993366"/>
      <rgbColor rgb="FF33485B"/>
      <rgbColor rgb="FF222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6" t="s">
        <v>20</v>
      </c>
      <c r="I6" s="5" t="s">
        <v>21</v>
      </c>
      <c r="J6" s="5" t="s">
        <v>22</v>
      </c>
    </row>
    <row r="7" customFormat="false" ht="23.85" hidden="false" customHeight="false" outlineLevel="0" collapsed="false">
      <c r="A7" s="7" t="s">
        <v>23</v>
      </c>
      <c r="B7" s="7" t="s">
        <v>14</v>
      </c>
      <c r="C7" s="7" t="s">
        <v>24</v>
      </c>
      <c r="D7" s="7" t="s">
        <v>25</v>
      </c>
      <c r="E7" s="7" t="s">
        <v>26</v>
      </c>
      <c r="F7" s="7" t="s">
        <v>18</v>
      </c>
      <c r="G7" s="7" t="s">
        <v>19</v>
      </c>
      <c r="H7" s="8" t="s">
        <v>20</v>
      </c>
      <c r="I7" s="7" t="s">
        <v>21</v>
      </c>
      <c r="J7" s="7" t="s">
        <v>22</v>
      </c>
    </row>
    <row r="8" customFormat="false" ht="23.85" hidden="false" customHeight="false" outlineLevel="0" collapsed="false">
      <c r="A8" s="5" t="s">
        <v>27</v>
      </c>
      <c r="B8" s="5" t="s">
        <v>14</v>
      </c>
      <c r="C8" s="5" t="s">
        <v>28</v>
      </c>
      <c r="D8" s="5" t="s">
        <v>29</v>
      </c>
      <c r="E8" s="5" t="s">
        <v>30</v>
      </c>
      <c r="F8" s="5" t="s">
        <v>18</v>
      </c>
      <c r="G8" s="5" t="s">
        <v>19</v>
      </c>
      <c r="H8" s="6" t="s">
        <v>20</v>
      </c>
      <c r="I8" s="5" t="s">
        <v>21</v>
      </c>
      <c r="J8" s="5" t="s">
        <v>22</v>
      </c>
    </row>
    <row r="9" customFormat="false" ht="23.85" hidden="false" customHeight="false" outlineLevel="0" collapsed="false">
      <c r="A9" s="7" t="s">
        <v>31</v>
      </c>
      <c r="B9" s="7" t="s">
        <v>14</v>
      </c>
      <c r="C9" s="7" t="s">
        <v>32</v>
      </c>
      <c r="D9" s="7" t="s">
        <v>33</v>
      </c>
      <c r="E9" s="7" t="s">
        <v>34</v>
      </c>
      <c r="F9" s="7" t="s">
        <v>18</v>
      </c>
      <c r="G9" s="7" t="s">
        <v>19</v>
      </c>
      <c r="H9" s="8" t="s">
        <v>20</v>
      </c>
      <c r="I9" s="7" t="s">
        <v>21</v>
      </c>
      <c r="J9" s="7" t="s">
        <v>22</v>
      </c>
    </row>
    <row r="10" customFormat="false" ht="23.85" hidden="false" customHeight="false" outlineLevel="0" collapsed="false">
      <c r="A10" s="5" t="s">
        <v>35</v>
      </c>
      <c r="B10" s="5" t="s">
        <v>14</v>
      </c>
      <c r="C10" s="5" t="s">
        <v>36</v>
      </c>
      <c r="D10" s="5" t="s">
        <v>37</v>
      </c>
      <c r="E10" s="5" t="s">
        <v>38</v>
      </c>
      <c r="F10" s="5" t="s">
        <v>18</v>
      </c>
      <c r="G10" s="5" t="s">
        <v>39</v>
      </c>
      <c r="H10" s="6" t="s">
        <v>20</v>
      </c>
      <c r="I10" s="5" t="s">
        <v>21</v>
      </c>
      <c r="J10" s="5" t="s">
        <v>22</v>
      </c>
    </row>
    <row r="11" customFormat="false" ht="23.85" hidden="false" customHeight="false" outlineLevel="0" collapsed="false">
      <c r="A11" s="7" t="s">
        <v>40</v>
      </c>
      <c r="B11" s="7" t="s">
        <v>14</v>
      </c>
      <c r="C11" s="7" t="s">
        <v>41</v>
      </c>
      <c r="D11" s="7" t="s">
        <v>42</v>
      </c>
      <c r="E11" s="7" t="s">
        <v>43</v>
      </c>
      <c r="F11" s="7" t="s">
        <v>18</v>
      </c>
      <c r="G11" s="7" t="s">
        <v>39</v>
      </c>
      <c r="H11" s="8" t="s">
        <v>20</v>
      </c>
      <c r="I11" s="7" t="s">
        <v>21</v>
      </c>
      <c r="J11" s="7" t="s">
        <v>22</v>
      </c>
    </row>
    <row r="12" customFormat="false" ht="46.25" hidden="false" customHeight="false" outlineLevel="0" collapsed="false">
      <c r="A12" s="9" t="s">
        <v>44</v>
      </c>
      <c r="B12" s="5" t="s">
        <v>14</v>
      </c>
      <c r="C12" s="5" t="s">
        <v>45</v>
      </c>
      <c r="D12" s="5" t="s">
        <v>46</v>
      </c>
      <c r="E12" s="5" t="s">
        <v>47</v>
      </c>
      <c r="F12" s="5" t="s">
        <v>48</v>
      </c>
      <c r="G12" s="5" t="s">
        <v>19</v>
      </c>
      <c r="H12" s="6" t="s">
        <v>20</v>
      </c>
      <c r="I12" s="5" t="s">
        <v>49</v>
      </c>
      <c r="J12" s="5" t="s">
        <v>50</v>
      </c>
    </row>
    <row r="13" customFormat="false" ht="35.05" hidden="false" customHeight="false" outlineLevel="0" collapsed="false">
      <c r="A13" s="10" t="s">
        <v>51</v>
      </c>
      <c r="B13" s="7" t="s">
        <v>14</v>
      </c>
      <c r="C13" s="7" t="s">
        <v>52</v>
      </c>
      <c r="D13" s="7" t="s">
        <v>53</v>
      </c>
      <c r="E13" s="7" t="s">
        <v>54</v>
      </c>
      <c r="F13" s="7" t="s">
        <v>48</v>
      </c>
      <c r="G13" s="7" t="s">
        <v>19</v>
      </c>
      <c r="H13" s="8" t="s">
        <v>20</v>
      </c>
      <c r="I13" s="7" t="s">
        <v>49</v>
      </c>
      <c r="J13" s="7" t="s">
        <v>50</v>
      </c>
    </row>
    <row r="14" customFormat="false" ht="79.85" hidden="false" customHeight="false" outlineLevel="0" collapsed="false">
      <c r="A14" s="9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5" t="s">
        <v>60</v>
      </c>
      <c r="G14" s="5" t="s">
        <v>61</v>
      </c>
      <c r="H14" s="6" t="s">
        <v>20</v>
      </c>
      <c r="I14" s="5" t="s">
        <v>62</v>
      </c>
      <c r="J14" s="5" t="s">
        <v>50</v>
      </c>
    </row>
    <row r="15" customFormat="false" ht="35.05" hidden="false" customHeight="false" outlineLevel="0" collapsed="false">
      <c r="A15" s="10" t="s">
        <v>63</v>
      </c>
      <c r="B15" s="7" t="s">
        <v>14</v>
      </c>
      <c r="C15" s="7" t="s">
        <v>64</v>
      </c>
      <c r="D15" s="7" t="s">
        <v>65</v>
      </c>
      <c r="E15" s="7" t="s">
        <v>66</v>
      </c>
      <c r="F15" s="7" t="s">
        <v>67</v>
      </c>
      <c r="G15" s="7" t="s">
        <v>39</v>
      </c>
      <c r="H15" s="8" t="s">
        <v>20</v>
      </c>
      <c r="I15" s="7" t="s">
        <v>68</v>
      </c>
      <c r="J15" s="7" t="s">
        <v>50</v>
      </c>
    </row>
    <row r="16" customFormat="false" ht="35.05" hidden="false" customHeight="false" outlineLevel="0" collapsed="false">
      <c r="A16" s="9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5" t="s">
        <v>74</v>
      </c>
      <c r="G16" s="5" t="s">
        <v>75</v>
      </c>
      <c r="H16" s="6" t="s">
        <v>20</v>
      </c>
      <c r="I16" s="5" t="s">
        <v>76</v>
      </c>
      <c r="J16" s="5" t="s">
        <v>50</v>
      </c>
    </row>
    <row r="17" customFormat="false" ht="35.05" hidden="false" customHeight="false" outlineLevel="0" collapsed="false">
      <c r="A17" s="10" t="s">
        <v>77</v>
      </c>
      <c r="B17" s="7" t="s">
        <v>14</v>
      </c>
      <c r="C17" s="7" t="s">
        <v>78</v>
      </c>
      <c r="D17" s="7" t="s">
        <v>79</v>
      </c>
      <c r="E17" s="7" t="s">
        <v>80</v>
      </c>
      <c r="F17" s="7" t="s">
        <v>81</v>
      </c>
      <c r="G17" s="7" t="s">
        <v>61</v>
      </c>
      <c r="H17" s="8" t="s">
        <v>20</v>
      </c>
      <c r="I17" s="7" t="s">
        <v>62</v>
      </c>
      <c r="J17" s="7" t="s">
        <v>50</v>
      </c>
    </row>
    <row r="18" customFormat="false" ht="46.25" hidden="false" customHeight="false" outlineLevel="0" collapsed="false">
      <c r="A18" s="5" t="s">
        <v>82</v>
      </c>
      <c r="B18" s="5" t="s">
        <v>70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39</v>
      </c>
      <c r="H18" s="11" t="s">
        <v>87</v>
      </c>
      <c r="I18" s="5" t="s">
        <v>88</v>
      </c>
      <c r="J18" s="5"/>
    </row>
    <row r="19" customFormat="false" ht="35.05" hidden="false" customHeight="false" outlineLevel="0" collapsed="false">
      <c r="A19" s="7" t="s">
        <v>89</v>
      </c>
      <c r="B19" s="7" t="s">
        <v>90</v>
      </c>
      <c r="C19" s="7" t="s">
        <v>91</v>
      </c>
      <c r="D19" s="7" t="s">
        <v>92</v>
      </c>
      <c r="E19" s="7" t="s">
        <v>93</v>
      </c>
      <c r="F19" s="7" t="s">
        <v>76</v>
      </c>
      <c r="G19" s="7" t="s">
        <v>39</v>
      </c>
      <c r="H19" s="8" t="s">
        <v>20</v>
      </c>
      <c r="I19" s="7" t="s">
        <v>76</v>
      </c>
      <c r="J19" s="7" t="s">
        <v>50</v>
      </c>
    </row>
    <row r="20" customFormat="false" ht="23.85" hidden="false" customHeight="false" outlineLevel="0" collapsed="false">
      <c r="A20" s="9" t="s">
        <v>94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39</v>
      </c>
      <c r="H20" s="6" t="s">
        <v>20</v>
      </c>
      <c r="I20" s="5" t="s">
        <v>100</v>
      </c>
      <c r="J20" s="5" t="s">
        <v>50</v>
      </c>
    </row>
    <row r="21" customFormat="false" ht="23.85" hidden="false" customHeight="false" outlineLevel="0" collapsed="false">
      <c r="A21" s="7" t="s">
        <v>101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76</v>
      </c>
      <c r="G21" s="7" t="s">
        <v>61</v>
      </c>
      <c r="H21" s="8" t="s">
        <v>20</v>
      </c>
      <c r="I21" s="7" t="s">
        <v>76</v>
      </c>
      <c r="J21" s="7" t="s">
        <v>50</v>
      </c>
    </row>
    <row r="22" customFormat="false" ht="35.05" hidden="false" customHeight="false" outlineLevel="0" collapsed="false">
      <c r="A22" s="5" t="s">
        <v>106</v>
      </c>
      <c r="B22" s="5" t="s">
        <v>90</v>
      </c>
      <c r="C22" s="5" t="s">
        <v>107</v>
      </c>
      <c r="D22" s="5" t="s">
        <v>108</v>
      </c>
      <c r="E22" s="5" t="s">
        <v>109</v>
      </c>
      <c r="F22" s="5" t="s">
        <v>76</v>
      </c>
      <c r="G22" s="5" t="s">
        <v>39</v>
      </c>
      <c r="H22" s="6" t="s">
        <v>20</v>
      </c>
      <c r="I22" s="5" t="s">
        <v>76</v>
      </c>
      <c r="J22" s="5" t="s">
        <v>50</v>
      </c>
    </row>
    <row r="23" customFormat="false" ht="46.25" hidden="false" customHeight="false" outlineLevel="0" collapsed="false">
      <c r="A23" s="7" t="s">
        <v>110</v>
      </c>
      <c r="B23" s="7" t="s">
        <v>102</v>
      </c>
      <c r="C23" s="7" t="s">
        <v>111</v>
      </c>
      <c r="D23" s="7" t="s">
        <v>112</v>
      </c>
      <c r="E23" s="7" t="s">
        <v>113</v>
      </c>
      <c r="F23" s="7" t="s">
        <v>114</v>
      </c>
      <c r="G23" s="7" t="s">
        <v>39</v>
      </c>
      <c r="H23" s="8" t="s">
        <v>20</v>
      </c>
      <c r="I23" s="7" t="s">
        <v>114</v>
      </c>
      <c r="J23" s="7" t="s">
        <v>50</v>
      </c>
    </row>
    <row r="24" customFormat="false" ht="35.05" hidden="false" customHeight="false" outlineLevel="0" collapsed="false">
      <c r="A24" s="5" t="s">
        <v>115</v>
      </c>
      <c r="B24" s="5" t="s">
        <v>90</v>
      </c>
      <c r="C24" s="5" t="s">
        <v>116</v>
      </c>
      <c r="D24" s="5" t="s">
        <v>117</v>
      </c>
      <c r="E24" s="5" t="s">
        <v>118</v>
      </c>
      <c r="F24" s="5" t="s">
        <v>114</v>
      </c>
      <c r="G24" s="5" t="s">
        <v>39</v>
      </c>
      <c r="H24" s="6" t="s">
        <v>20</v>
      </c>
      <c r="I24" s="5" t="s">
        <v>114</v>
      </c>
      <c r="J24" s="5" t="s">
        <v>50</v>
      </c>
    </row>
    <row r="25" customFormat="false" ht="35.05" hidden="false" customHeight="false" outlineLevel="0" collapsed="false">
      <c r="A25" s="7" t="s">
        <v>119</v>
      </c>
      <c r="B25" s="7" t="s">
        <v>14</v>
      </c>
      <c r="C25" s="7" t="s">
        <v>120</v>
      </c>
      <c r="D25" s="7" t="s">
        <v>121</v>
      </c>
      <c r="E25" s="7" t="s">
        <v>122</v>
      </c>
      <c r="F25" s="7" t="s">
        <v>114</v>
      </c>
      <c r="G25" s="7" t="s">
        <v>19</v>
      </c>
      <c r="H25" s="8" t="s">
        <v>20</v>
      </c>
      <c r="I25" s="7" t="s">
        <v>114</v>
      </c>
      <c r="J25" s="7" t="s">
        <v>50</v>
      </c>
    </row>
    <row r="26" customFormat="false" ht="35.05" hidden="false" customHeight="false" outlineLevel="0" collapsed="false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127</v>
      </c>
      <c r="F26" s="5" t="s">
        <v>68</v>
      </c>
      <c r="G26" s="5" t="s">
        <v>75</v>
      </c>
      <c r="H26" s="6" t="s">
        <v>20</v>
      </c>
      <c r="I26" s="5" t="s">
        <v>68</v>
      </c>
      <c r="J26" s="5" t="s">
        <v>50</v>
      </c>
    </row>
    <row r="27" customFormat="false" ht="35.05" hidden="false" customHeight="false" outlineLevel="0" collapsed="false">
      <c r="A27" s="7" t="s">
        <v>128</v>
      </c>
      <c r="B27" s="7" t="s">
        <v>124</v>
      </c>
      <c r="C27" s="7" t="s">
        <v>129</v>
      </c>
      <c r="D27" s="7" t="s">
        <v>130</v>
      </c>
      <c r="E27" s="7" t="s">
        <v>131</v>
      </c>
      <c r="F27" s="7" t="s">
        <v>68</v>
      </c>
      <c r="G27" s="7" t="s">
        <v>39</v>
      </c>
      <c r="H27" s="8" t="s">
        <v>20</v>
      </c>
      <c r="I27" s="7" t="s">
        <v>68</v>
      </c>
      <c r="J27" s="7" t="s">
        <v>50</v>
      </c>
    </row>
    <row r="28" customFormat="false" ht="35.05" hidden="false" customHeight="false" outlineLevel="0" collapsed="false">
      <c r="A28" s="5" t="s">
        <v>132</v>
      </c>
      <c r="B28" s="5" t="s">
        <v>124</v>
      </c>
      <c r="C28" s="5" t="s">
        <v>133</v>
      </c>
      <c r="D28" s="5" t="s">
        <v>134</v>
      </c>
      <c r="E28" s="5" t="s">
        <v>135</v>
      </c>
      <c r="F28" s="5" t="s">
        <v>68</v>
      </c>
      <c r="G28" s="5" t="s">
        <v>19</v>
      </c>
      <c r="H28" s="6" t="s">
        <v>20</v>
      </c>
      <c r="I28" s="5" t="s">
        <v>68</v>
      </c>
      <c r="J28" s="5" t="s">
        <v>50</v>
      </c>
    </row>
    <row r="29" customFormat="false" ht="46.25" hidden="false" customHeight="false" outlineLevel="0" collapsed="false">
      <c r="A29" s="7" t="s">
        <v>136</v>
      </c>
      <c r="B29" s="7" t="s">
        <v>124</v>
      </c>
      <c r="C29" s="7" t="s">
        <v>137</v>
      </c>
      <c r="D29" s="7" t="s">
        <v>138</v>
      </c>
      <c r="E29" s="7" t="s">
        <v>139</v>
      </c>
      <c r="F29" s="7" t="s">
        <v>68</v>
      </c>
      <c r="G29" s="7" t="s">
        <v>75</v>
      </c>
      <c r="H29" s="8" t="s">
        <v>20</v>
      </c>
      <c r="I29" s="7" t="s">
        <v>68</v>
      </c>
      <c r="J29" s="7" t="s">
        <v>50</v>
      </c>
    </row>
    <row r="30" customFormat="false" ht="46.25" hidden="false" customHeight="false" outlineLevel="0" collapsed="false">
      <c r="A30" s="5" t="s">
        <v>140</v>
      </c>
      <c r="B30" s="5" t="s">
        <v>124</v>
      </c>
      <c r="C30" s="5" t="s">
        <v>141</v>
      </c>
      <c r="D30" s="5" t="s">
        <v>142</v>
      </c>
      <c r="E30" s="5" t="s">
        <v>143</v>
      </c>
      <c r="F30" s="5" t="s">
        <v>68</v>
      </c>
      <c r="G30" s="5" t="s">
        <v>39</v>
      </c>
      <c r="H30" s="6" t="s">
        <v>20</v>
      </c>
      <c r="I30" s="5" t="s">
        <v>68</v>
      </c>
      <c r="J30" s="5" t="s">
        <v>50</v>
      </c>
    </row>
    <row r="31" customFormat="false" ht="46.25" hidden="false" customHeight="false" outlineLevel="0" collapsed="false">
      <c r="A31" s="7" t="s">
        <v>144</v>
      </c>
      <c r="B31" s="7" t="s">
        <v>124</v>
      </c>
      <c r="C31" s="7" t="s">
        <v>145</v>
      </c>
      <c r="D31" s="7" t="s">
        <v>146</v>
      </c>
      <c r="E31" s="7" t="s">
        <v>147</v>
      </c>
      <c r="F31" s="7" t="s">
        <v>68</v>
      </c>
      <c r="G31" s="7" t="s">
        <v>39</v>
      </c>
      <c r="H31" s="8" t="s">
        <v>20</v>
      </c>
      <c r="I31" s="7" t="s">
        <v>68</v>
      </c>
      <c r="J31" s="7" t="s">
        <v>50</v>
      </c>
    </row>
    <row r="32" customFormat="false" ht="23.85" hidden="false" customHeight="false" outlineLevel="0" collapsed="false">
      <c r="A32" s="9" t="s">
        <v>148</v>
      </c>
      <c r="B32" s="5" t="s">
        <v>95</v>
      </c>
      <c r="C32" s="5" t="s">
        <v>149</v>
      </c>
      <c r="D32" s="5" t="s">
        <v>150</v>
      </c>
      <c r="E32" s="5" t="s">
        <v>151</v>
      </c>
      <c r="F32" s="5" t="s">
        <v>100</v>
      </c>
      <c r="G32" s="5" t="s">
        <v>39</v>
      </c>
      <c r="H32" s="6" t="s">
        <v>20</v>
      </c>
      <c r="I32" s="5" t="s">
        <v>100</v>
      </c>
      <c r="J32" s="5" t="s">
        <v>50</v>
      </c>
    </row>
    <row r="33" customFormat="false" ht="15" hidden="false" customHeight="false" outlineLevel="0" collapsed="false">
      <c r="A33" s="10" t="s">
        <v>152</v>
      </c>
      <c r="B33" s="7" t="s">
        <v>95</v>
      </c>
      <c r="C33" s="7" t="s">
        <v>153</v>
      </c>
      <c r="D33" s="7" t="s">
        <v>154</v>
      </c>
      <c r="E33" s="7" t="s">
        <v>155</v>
      </c>
      <c r="F33" s="7" t="s">
        <v>100</v>
      </c>
      <c r="G33" s="7" t="s">
        <v>39</v>
      </c>
      <c r="H33" s="8" t="s">
        <v>20</v>
      </c>
      <c r="I33" s="7" t="s">
        <v>100</v>
      </c>
      <c r="J33" s="7" t="s">
        <v>50</v>
      </c>
    </row>
    <row r="34" customFormat="false" ht="23.85" hidden="false" customHeight="false" outlineLevel="0" collapsed="false">
      <c r="A34" s="9" t="s">
        <v>156</v>
      </c>
      <c r="B34" s="5" t="s">
        <v>95</v>
      </c>
      <c r="C34" s="5" t="s">
        <v>157</v>
      </c>
      <c r="D34" s="5" t="s">
        <v>158</v>
      </c>
      <c r="E34" s="5" t="s">
        <v>159</v>
      </c>
      <c r="F34" s="5" t="s">
        <v>100</v>
      </c>
      <c r="G34" s="5" t="s">
        <v>39</v>
      </c>
      <c r="H34" s="6" t="s">
        <v>20</v>
      </c>
      <c r="I34" s="5" t="s">
        <v>100</v>
      </c>
      <c r="J34" s="5" t="s">
        <v>50</v>
      </c>
    </row>
    <row r="35" customFormat="false" ht="15" hidden="false" customHeight="false" outlineLevel="0" collapsed="false">
      <c r="A35" s="10" t="s">
        <v>160</v>
      </c>
      <c r="B35" s="7" t="s">
        <v>95</v>
      </c>
      <c r="C35" s="7" t="s">
        <v>161</v>
      </c>
      <c r="D35" s="7" t="s">
        <v>162</v>
      </c>
      <c r="E35" s="7" t="s">
        <v>163</v>
      </c>
      <c r="F35" s="7" t="s">
        <v>100</v>
      </c>
      <c r="G35" s="7" t="s">
        <v>39</v>
      </c>
      <c r="H35" s="8" t="s">
        <v>20</v>
      </c>
      <c r="I35" s="7" t="s">
        <v>100</v>
      </c>
      <c r="J35" s="7" t="s">
        <v>50</v>
      </c>
    </row>
    <row r="36" customFormat="false" ht="23.85" hidden="false" customHeight="false" outlineLevel="0" collapsed="false">
      <c r="A36" s="9" t="s">
        <v>164</v>
      </c>
      <c r="B36" s="5" t="s">
        <v>95</v>
      </c>
      <c r="C36" s="5" t="s">
        <v>165</v>
      </c>
      <c r="D36" s="5" t="s">
        <v>166</v>
      </c>
      <c r="E36" s="5" t="s">
        <v>167</v>
      </c>
      <c r="F36" s="5" t="s">
        <v>100</v>
      </c>
      <c r="G36" s="5" t="s">
        <v>39</v>
      </c>
      <c r="H36" s="6" t="s">
        <v>20</v>
      </c>
      <c r="I36" s="5" t="s">
        <v>100</v>
      </c>
      <c r="J36" s="5" t="s">
        <v>50</v>
      </c>
    </row>
    <row r="37" customFormat="false" ht="15" hidden="false" customHeight="false" outlineLevel="0" collapsed="false">
      <c r="A37" s="10" t="s">
        <v>168</v>
      </c>
      <c r="B37" s="7" t="s">
        <v>95</v>
      </c>
      <c r="C37" s="7" t="s">
        <v>169</v>
      </c>
      <c r="D37" s="7" t="s">
        <v>170</v>
      </c>
      <c r="E37" s="7" t="s">
        <v>171</v>
      </c>
      <c r="F37" s="7" t="s">
        <v>100</v>
      </c>
      <c r="G37" s="7" t="s">
        <v>39</v>
      </c>
      <c r="H37" s="8" t="s">
        <v>20</v>
      </c>
      <c r="I37" s="7" t="s">
        <v>100</v>
      </c>
      <c r="J37" s="7" t="s">
        <v>50</v>
      </c>
    </row>
    <row r="38" customFormat="false" ht="23.85" hidden="false" customHeight="false" outlineLevel="0" collapsed="false">
      <c r="A38" s="9" t="s">
        <v>172</v>
      </c>
      <c r="B38" s="5" t="s">
        <v>95</v>
      </c>
      <c r="C38" s="5" t="s">
        <v>173</v>
      </c>
      <c r="D38" s="5" t="s">
        <v>174</v>
      </c>
      <c r="E38" s="5" t="s">
        <v>175</v>
      </c>
      <c r="F38" s="5" t="s">
        <v>100</v>
      </c>
      <c r="G38" s="5" t="s">
        <v>39</v>
      </c>
      <c r="H38" s="6" t="s">
        <v>20</v>
      </c>
      <c r="I38" s="5" t="s">
        <v>100</v>
      </c>
      <c r="J38" s="5" t="s">
        <v>50</v>
      </c>
    </row>
    <row r="39" customFormat="false" ht="23.85" hidden="false" customHeight="false" outlineLevel="0" collapsed="false">
      <c r="A39" s="10" t="s">
        <v>176</v>
      </c>
      <c r="B39" s="7" t="s">
        <v>95</v>
      </c>
      <c r="C39" s="7" t="s">
        <v>177</v>
      </c>
      <c r="D39" s="7" t="s">
        <v>178</v>
      </c>
      <c r="E39" s="7" t="s">
        <v>179</v>
      </c>
      <c r="F39" s="7" t="s">
        <v>100</v>
      </c>
      <c r="G39" s="7" t="s">
        <v>39</v>
      </c>
      <c r="H39" s="8" t="s">
        <v>20</v>
      </c>
      <c r="I39" s="7" t="s">
        <v>100</v>
      </c>
      <c r="J39" s="7" t="s">
        <v>50</v>
      </c>
    </row>
    <row r="40" customFormat="false" ht="23.85" hidden="false" customHeight="false" outlineLevel="0" collapsed="false">
      <c r="A40" s="9" t="s">
        <v>180</v>
      </c>
      <c r="B40" s="5" t="s">
        <v>181</v>
      </c>
      <c r="C40" s="5" t="s">
        <v>182</v>
      </c>
      <c r="D40" s="5" t="s">
        <v>183</v>
      </c>
      <c r="E40" s="5" t="s">
        <v>184</v>
      </c>
      <c r="F40" s="5" t="s">
        <v>100</v>
      </c>
      <c r="G40" s="5" t="s">
        <v>39</v>
      </c>
      <c r="H40" s="6" t="s">
        <v>20</v>
      </c>
      <c r="I40" s="5" t="s">
        <v>100</v>
      </c>
      <c r="J40" s="5" t="s">
        <v>50</v>
      </c>
    </row>
    <row r="41" customFormat="false" ht="23.85" hidden="false" customHeight="false" outlineLevel="0" collapsed="false">
      <c r="A41" s="10" t="s">
        <v>185</v>
      </c>
      <c r="B41" s="7" t="s">
        <v>95</v>
      </c>
      <c r="C41" s="7" t="s">
        <v>186</v>
      </c>
      <c r="D41" s="7" t="s">
        <v>187</v>
      </c>
      <c r="E41" s="7" t="s">
        <v>188</v>
      </c>
      <c r="F41" s="7" t="s">
        <v>100</v>
      </c>
      <c r="G41" s="7" t="s">
        <v>19</v>
      </c>
      <c r="H41" s="8" t="s">
        <v>20</v>
      </c>
      <c r="I41" s="7" t="s">
        <v>100</v>
      </c>
      <c r="J41" s="7" t="s">
        <v>50</v>
      </c>
    </row>
    <row r="42" customFormat="false" ht="23.85" hidden="false" customHeight="false" outlineLevel="0" collapsed="false">
      <c r="A42" s="9" t="s">
        <v>189</v>
      </c>
      <c r="B42" s="5" t="s">
        <v>95</v>
      </c>
      <c r="C42" s="5" t="s">
        <v>190</v>
      </c>
      <c r="D42" s="5" t="s">
        <v>191</v>
      </c>
      <c r="E42" s="5" t="s">
        <v>192</v>
      </c>
      <c r="F42" s="5" t="s">
        <v>100</v>
      </c>
      <c r="G42" s="5" t="s">
        <v>39</v>
      </c>
      <c r="H42" s="6" t="s">
        <v>20</v>
      </c>
      <c r="I42" s="5" t="s">
        <v>100</v>
      </c>
      <c r="J42" s="5" t="s">
        <v>50</v>
      </c>
    </row>
    <row r="43" customFormat="false" ht="23.85" hidden="false" customHeight="false" outlineLevel="0" collapsed="false">
      <c r="A43" s="10" t="s">
        <v>193</v>
      </c>
      <c r="B43" s="7" t="s">
        <v>95</v>
      </c>
      <c r="C43" s="7" t="s">
        <v>194</v>
      </c>
      <c r="D43" s="7" t="s">
        <v>195</v>
      </c>
      <c r="E43" s="7" t="s">
        <v>196</v>
      </c>
      <c r="F43" s="7" t="s">
        <v>100</v>
      </c>
      <c r="G43" s="7" t="s">
        <v>39</v>
      </c>
      <c r="H43" s="8" t="s">
        <v>20</v>
      </c>
      <c r="I43" s="7" t="s">
        <v>100</v>
      </c>
      <c r="J43" s="7" t="s">
        <v>50</v>
      </c>
    </row>
    <row r="44" customFormat="false" ht="23.85" hidden="false" customHeight="false" outlineLevel="0" collapsed="false">
      <c r="A44" s="9" t="s">
        <v>197</v>
      </c>
      <c r="B44" s="5" t="s">
        <v>95</v>
      </c>
      <c r="C44" s="5" t="s">
        <v>198</v>
      </c>
      <c r="D44" s="5" t="s">
        <v>199</v>
      </c>
      <c r="E44" s="5" t="s">
        <v>200</v>
      </c>
      <c r="F44" s="5" t="s">
        <v>100</v>
      </c>
      <c r="G44" s="5" t="s">
        <v>39</v>
      </c>
      <c r="H44" s="6" t="s">
        <v>20</v>
      </c>
      <c r="I44" s="5" t="s">
        <v>100</v>
      </c>
      <c r="J44" s="5" t="s">
        <v>50</v>
      </c>
    </row>
    <row r="45" customFormat="false" ht="23.85" hidden="false" customHeight="false" outlineLevel="0" collapsed="false">
      <c r="A45" s="10" t="s">
        <v>201</v>
      </c>
      <c r="B45" s="7" t="s">
        <v>95</v>
      </c>
      <c r="C45" s="7" t="s">
        <v>202</v>
      </c>
      <c r="D45" s="7" t="s">
        <v>203</v>
      </c>
      <c r="E45" s="7" t="s">
        <v>204</v>
      </c>
      <c r="F45" s="7" t="s">
        <v>100</v>
      </c>
      <c r="G45" s="7" t="s">
        <v>39</v>
      </c>
      <c r="H45" s="8" t="s">
        <v>20</v>
      </c>
      <c r="I45" s="7" t="s">
        <v>100</v>
      </c>
      <c r="J45" s="7" t="s">
        <v>50</v>
      </c>
    </row>
    <row r="46" customFormat="false" ht="15" hidden="false" customHeight="false" outlineLevel="0" collapsed="false">
      <c r="A46" s="9" t="s">
        <v>205</v>
      </c>
      <c r="B46" s="5" t="s">
        <v>206</v>
      </c>
      <c r="C46" s="5" t="s">
        <v>207</v>
      </c>
      <c r="D46" s="5" t="s">
        <v>208</v>
      </c>
      <c r="E46" s="5" t="s">
        <v>209</v>
      </c>
      <c r="F46" s="5" t="s">
        <v>100</v>
      </c>
      <c r="G46" s="5" t="s">
        <v>75</v>
      </c>
      <c r="H46" s="6" t="s">
        <v>20</v>
      </c>
      <c r="I46" s="5" t="s">
        <v>100</v>
      </c>
      <c r="J46" s="5" t="s">
        <v>50</v>
      </c>
    </row>
    <row r="47" customFormat="false" ht="15" hidden="false" customHeight="false" outlineLevel="0" collapsed="false">
      <c r="A47" s="10" t="s">
        <v>210</v>
      </c>
      <c r="B47" s="7" t="s">
        <v>206</v>
      </c>
      <c r="C47" s="7" t="s">
        <v>211</v>
      </c>
      <c r="D47" s="7" t="s">
        <v>212</v>
      </c>
      <c r="E47" s="7" t="s">
        <v>213</v>
      </c>
      <c r="F47" s="7" t="s">
        <v>100</v>
      </c>
      <c r="G47" s="7" t="s">
        <v>75</v>
      </c>
      <c r="H47" s="8" t="s">
        <v>20</v>
      </c>
      <c r="I47" s="7" t="s">
        <v>100</v>
      </c>
      <c r="J47" s="7" t="s">
        <v>50</v>
      </c>
    </row>
    <row r="48" customFormat="false" ht="23.85" hidden="false" customHeight="false" outlineLevel="0" collapsed="false">
      <c r="A48" s="9" t="s">
        <v>214</v>
      </c>
      <c r="B48" s="5" t="s">
        <v>206</v>
      </c>
      <c r="C48" s="5" t="s">
        <v>215</v>
      </c>
      <c r="D48" s="5" t="s">
        <v>216</v>
      </c>
      <c r="E48" s="5" t="s">
        <v>217</v>
      </c>
      <c r="F48" s="5" t="s">
        <v>100</v>
      </c>
      <c r="G48" s="5" t="s">
        <v>75</v>
      </c>
      <c r="H48" s="6" t="s">
        <v>20</v>
      </c>
      <c r="I48" s="5" t="s">
        <v>100</v>
      </c>
      <c r="J48" s="5" t="s">
        <v>50</v>
      </c>
    </row>
    <row r="49" customFormat="false" ht="23.85" hidden="false" customHeight="false" outlineLevel="0" collapsed="false">
      <c r="A49" s="10" t="s">
        <v>218</v>
      </c>
      <c r="B49" s="7" t="s">
        <v>219</v>
      </c>
      <c r="C49" s="7" t="s">
        <v>220</v>
      </c>
      <c r="D49" s="7" t="s">
        <v>221</v>
      </c>
      <c r="E49" s="7" t="s">
        <v>222</v>
      </c>
      <c r="F49" s="7" t="s">
        <v>100</v>
      </c>
      <c r="G49" s="7" t="s">
        <v>19</v>
      </c>
      <c r="H49" s="8" t="s">
        <v>20</v>
      </c>
      <c r="I49" s="7" t="s">
        <v>100</v>
      </c>
      <c r="J49" s="7" t="s">
        <v>50</v>
      </c>
    </row>
    <row r="50" customFormat="false" ht="23.85" hidden="false" customHeight="false" outlineLevel="0" collapsed="false">
      <c r="A50" s="9" t="s">
        <v>223</v>
      </c>
      <c r="B50" s="5" t="s">
        <v>95</v>
      </c>
      <c r="C50" s="5" t="s">
        <v>224</v>
      </c>
      <c r="D50" s="5" t="s">
        <v>225</v>
      </c>
      <c r="E50" s="5" t="s">
        <v>226</v>
      </c>
      <c r="F50" s="5" t="s">
        <v>100</v>
      </c>
      <c r="G50" s="5" t="s">
        <v>39</v>
      </c>
      <c r="H50" s="6" t="s">
        <v>20</v>
      </c>
      <c r="I50" s="5" t="s">
        <v>100</v>
      </c>
      <c r="J50" s="5" t="s">
        <v>50</v>
      </c>
    </row>
    <row r="51" customFormat="false" ht="23.85" hidden="false" customHeight="false" outlineLevel="0" collapsed="false">
      <c r="A51" s="10" t="s">
        <v>227</v>
      </c>
      <c r="B51" s="7" t="s">
        <v>95</v>
      </c>
      <c r="C51" s="7" t="s">
        <v>228</v>
      </c>
      <c r="D51" s="7" t="s">
        <v>229</v>
      </c>
      <c r="E51" s="7" t="s">
        <v>230</v>
      </c>
      <c r="F51" s="7" t="s">
        <v>100</v>
      </c>
      <c r="G51" s="7" t="s">
        <v>39</v>
      </c>
      <c r="H51" s="8" t="s">
        <v>20</v>
      </c>
      <c r="I51" s="7" t="s">
        <v>100</v>
      </c>
      <c r="J51" s="7" t="s">
        <v>50</v>
      </c>
    </row>
    <row r="52" customFormat="false" ht="35.05" hidden="false" customHeight="false" outlineLevel="0" collapsed="false">
      <c r="A52" s="9" t="s">
        <v>231</v>
      </c>
      <c r="B52" s="5" t="s">
        <v>95</v>
      </c>
      <c r="C52" s="5" t="s">
        <v>232</v>
      </c>
      <c r="D52" s="5" t="s">
        <v>233</v>
      </c>
      <c r="E52" s="5" t="s">
        <v>234</v>
      </c>
      <c r="F52" s="5" t="s">
        <v>100</v>
      </c>
      <c r="G52" s="5" t="s">
        <v>39</v>
      </c>
      <c r="H52" s="6" t="s">
        <v>20</v>
      </c>
      <c r="I52" s="5" t="s">
        <v>100</v>
      </c>
      <c r="J52" s="5" t="s">
        <v>50</v>
      </c>
    </row>
    <row r="53" customFormat="false" ht="23.85" hidden="false" customHeight="false" outlineLevel="0" collapsed="false">
      <c r="A53" s="10" t="s">
        <v>235</v>
      </c>
      <c r="B53" s="7" t="s">
        <v>219</v>
      </c>
      <c r="C53" s="7" t="s">
        <v>236</v>
      </c>
      <c r="D53" s="7" t="s">
        <v>237</v>
      </c>
      <c r="E53" s="7" t="s">
        <v>238</v>
      </c>
      <c r="F53" s="7" t="s">
        <v>100</v>
      </c>
      <c r="G53" s="7" t="s">
        <v>61</v>
      </c>
      <c r="H53" s="8" t="s">
        <v>20</v>
      </c>
      <c r="I53" s="7" t="s">
        <v>100</v>
      </c>
      <c r="J53" s="7" t="s">
        <v>50</v>
      </c>
    </row>
    <row r="54" customFormat="false" ht="15" hidden="false" customHeight="false" outlineLevel="0" collapsed="false">
      <c r="A54" s="9" t="s">
        <v>239</v>
      </c>
      <c r="B54" s="5" t="s">
        <v>219</v>
      </c>
      <c r="C54" s="5" t="s">
        <v>240</v>
      </c>
      <c r="D54" s="5" t="s">
        <v>241</v>
      </c>
      <c r="E54" s="5" t="s">
        <v>242</v>
      </c>
      <c r="F54" s="5" t="s">
        <v>100</v>
      </c>
      <c r="G54" s="5" t="s">
        <v>61</v>
      </c>
      <c r="H54" s="6" t="s">
        <v>20</v>
      </c>
      <c r="I54" s="5" t="s">
        <v>100</v>
      </c>
      <c r="J54" s="5" t="s">
        <v>50</v>
      </c>
    </row>
    <row r="55" customFormat="false" ht="15" hidden="false" customHeight="false" outlineLevel="0" collapsed="false">
      <c r="A55" s="10" t="s">
        <v>243</v>
      </c>
      <c r="B55" s="7" t="s">
        <v>219</v>
      </c>
      <c r="C55" s="7" t="s">
        <v>244</v>
      </c>
      <c r="D55" s="7" t="s">
        <v>245</v>
      </c>
      <c r="E55" s="7" t="s">
        <v>246</v>
      </c>
      <c r="F55" s="7" t="s">
        <v>100</v>
      </c>
      <c r="G55" s="7" t="s">
        <v>61</v>
      </c>
      <c r="H55" s="8" t="s">
        <v>20</v>
      </c>
      <c r="I55" s="7" t="s">
        <v>100</v>
      </c>
      <c r="J55" s="7" t="s">
        <v>50</v>
      </c>
    </row>
    <row r="56" customFormat="false" ht="35.05" hidden="false" customHeight="false" outlineLevel="0" collapsed="false">
      <c r="A56" s="9" t="s">
        <v>247</v>
      </c>
      <c r="B56" s="5" t="s">
        <v>248</v>
      </c>
      <c r="C56" s="5" t="s">
        <v>249</v>
      </c>
      <c r="D56" s="5" t="s">
        <v>250</v>
      </c>
      <c r="E56" s="5" t="s">
        <v>251</v>
      </c>
      <c r="F56" s="5" t="s">
        <v>49</v>
      </c>
      <c r="G56" s="5" t="s">
        <v>39</v>
      </c>
      <c r="H56" s="6" t="s">
        <v>20</v>
      </c>
      <c r="I56" s="5" t="s">
        <v>49</v>
      </c>
      <c r="J56" s="5" t="s">
        <v>50</v>
      </c>
    </row>
    <row r="57" customFormat="false" ht="35.05" hidden="false" customHeight="false" outlineLevel="0" collapsed="false">
      <c r="A57" s="10" t="s">
        <v>252</v>
      </c>
      <c r="B57" s="7" t="s">
        <v>248</v>
      </c>
      <c r="C57" s="7" t="s">
        <v>253</v>
      </c>
      <c r="D57" s="7" t="s">
        <v>254</v>
      </c>
      <c r="E57" s="7" t="s">
        <v>255</v>
      </c>
      <c r="F57" s="7" t="s">
        <v>49</v>
      </c>
      <c r="G57" s="7" t="s">
        <v>39</v>
      </c>
      <c r="H57" s="8" t="s">
        <v>20</v>
      </c>
      <c r="I57" s="7" t="s">
        <v>49</v>
      </c>
      <c r="J57" s="7" t="s">
        <v>50</v>
      </c>
    </row>
    <row r="58" customFormat="false" ht="35.05" hidden="false" customHeight="false" outlineLevel="0" collapsed="false">
      <c r="A58" s="9" t="s">
        <v>256</v>
      </c>
      <c r="B58" s="5" t="s">
        <v>248</v>
      </c>
      <c r="C58" s="5" t="s">
        <v>257</v>
      </c>
      <c r="D58" s="5" t="s">
        <v>258</v>
      </c>
      <c r="E58" s="5" t="s">
        <v>259</v>
      </c>
      <c r="F58" s="5" t="s">
        <v>49</v>
      </c>
      <c r="G58" s="5" t="s">
        <v>39</v>
      </c>
      <c r="H58" s="6" t="s">
        <v>20</v>
      </c>
      <c r="I58" s="5" t="s">
        <v>49</v>
      </c>
      <c r="J58" s="5" t="s">
        <v>50</v>
      </c>
    </row>
    <row r="59" customFormat="false" ht="46.25" hidden="false" customHeight="false" outlineLevel="0" collapsed="false">
      <c r="A59" s="10" t="s">
        <v>260</v>
      </c>
      <c r="B59" s="7" t="s">
        <v>261</v>
      </c>
      <c r="C59" s="7" t="s">
        <v>262</v>
      </c>
      <c r="D59" s="7" t="s">
        <v>263</v>
      </c>
      <c r="E59" s="7" t="s">
        <v>264</v>
      </c>
      <c r="F59" s="7" t="s">
        <v>49</v>
      </c>
      <c r="G59" s="7" t="s">
        <v>39</v>
      </c>
      <c r="H59" s="8" t="s">
        <v>20</v>
      </c>
      <c r="I59" s="7" t="s">
        <v>49</v>
      </c>
      <c r="J59" s="7" t="s">
        <v>50</v>
      </c>
    </row>
    <row r="60" customFormat="false" ht="35.05" hidden="false" customHeight="false" outlineLevel="0" collapsed="false">
      <c r="A60" s="9" t="s">
        <v>265</v>
      </c>
      <c r="B60" s="5" t="s">
        <v>266</v>
      </c>
      <c r="C60" s="5" t="s">
        <v>267</v>
      </c>
      <c r="D60" s="5" t="s">
        <v>268</v>
      </c>
      <c r="E60" s="5" t="s">
        <v>269</v>
      </c>
      <c r="F60" s="5" t="s">
        <v>49</v>
      </c>
      <c r="G60" s="5" t="s">
        <v>75</v>
      </c>
      <c r="H60" s="6" t="s">
        <v>20</v>
      </c>
      <c r="I60" s="5" t="s">
        <v>49</v>
      </c>
      <c r="J60" s="5" t="s">
        <v>50</v>
      </c>
    </row>
    <row r="61" customFormat="false" ht="23.85" hidden="false" customHeight="false" outlineLevel="0" collapsed="false">
      <c r="A61" s="10" t="s">
        <v>270</v>
      </c>
      <c r="B61" s="7" t="s">
        <v>102</v>
      </c>
      <c r="C61" s="7" t="s">
        <v>271</v>
      </c>
      <c r="D61" s="7" t="s">
        <v>272</v>
      </c>
      <c r="E61" s="7" t="s">
        <v>273</v>
      </c>
      <c r="F61" s="7" t="s">
        <v>62</v>
      </c>
      <c r="G61" s="7" t="s">
        <v>19</v>
      </c>
      <c r="H61" s="8" t="s">
        <v>20</v>
      </c>
      <c r="I61" s="7" t="s">
        <v>62</v>
      </c>
      <c r="J61" s="7" t="s">
        <v>50</v>
      </c>
    </row>
    <row r="62" customFormat="false" ht="35.05" hidden="false" customHeight="false" outlineLevel="0" collapsed="false">
      <c r="A62" s="9" t="s">
        <v>274</v>
      </c>
      <c r="B62" s="5" t="s">
        <v>102</v>
      </c>
      <c r="C62" s="5" t="s">
        <v>275</v>
      </c>
      <c r="D62" s="5" t="s">
        <v>276</v>
      </c>
      <c r="E62" s="5" t="s">
        <v>277</v>
      </c>
      <c r="F62" s="5" t="s">
        <v>62</v>
      </c>
      <c r="G62" s="5" t="s">
        <v>19</v>
      </c>
      <c r="H62" s="6" t="s">
        <v>20</v>
      </c>
      <c r="I62" s="5" t="s">
        <v>62</v>
      </c>
      <c r="J62" s="5" t="s">
        <v>50</v>
      </c>
    </row>
    <row r="63" customFormat="false" ht="46.25" hidden="false" customHeight="false" outlineLevel="0" collapsed="false">
      <c r="A63" s="10" t="s">
        <v>278</v>
      </c>
      <c r="B63" s="7" t="s">
        <v>279</v>
      </c>
      <c r="C63" s="7" t="s">
        <v>280</v>
      </c>
      <c r="D63" s="7" t="s">
        <v>281</v>
      </c>
      <c r="E63" s="7" t="s">
        <v>282</v>
      </c>
      <c r="F63" s="7" t="s">
        <v>62</v>
      </c>
      <c r="G63" s="7" t="s">
        <v>61</v>
      </c>
      <c r="H63" s="8" t="s">
        <v>20</v>
      </c>
      <c r="I63" s="7" t="s">
        <v>62</v>
      </c>
      <c r="J63" s="7" t="s">
        <v>50</v>
      </c>
    </row>
    <row r="64" customFormat="false" ht="57.45" hidden="false" customHeight="false" outlineLevel="0" collapsed="false">
      <c r="A64" s="9" t="s">
        <v>283</v>
      </c>
      <c r="B64" s="5" t="s">
        <v>219</v>
      </c>
      <c r="C64" s="5" t="s">
        <v>284</v>
      </c>
      <c r="D64" s="5" t="s">
        <v>285</v>
      </c>
      <c r="E64" s="5" t="s">
        <v>286</v>
      </c>
      <c r="F64" s="5" t="s">
        <v>62</v>
      </c>
      <c r="G64" s="5" t="s">
        <v>19</v>
      </c>
      <c r="H64" s="6" t="s">
        <v>20</v>
      </c>
      <c r="I64" s="5" t="s">
        <v>62</v>
      </c>
      <c r="J64" s="5" t="s">
        <v>50</v>
      </c>
    </row>
    <row r="65" customFormat="false" ht="46.25" hidden="false" customHeight="false" outlineLevel="0" collapsed="false">
      <c r="A65" s="10" t="s">
        <v>287</v>
      </c>
      <c r="B65" s="7" t="s">
        <v>288</v>
      </c>
      <c r="C65" s="7" t="s">
        <v>289</v>
      </c>
      <c r="D65" s="7" t="s">
        <v>290</v>
      </c>
      <c r="E65" s="7" t="s">
        <v>291</v>
      </c>
      <c r="F65" s="7" t="s">
        <v>292</v>
      </c>
      <c r="G65" s="7" t="s">
        <v>293</v>
      </c>
      <c r="H65" s="8" t="s">
        <v>20</v>
      </c>
      <c r="I65" s="7" t="s">
        <v>292</v>
      </c>
      <c r="J65" s="7" t="s">
        <v>50</v>
      </c>
    </row>
    <row r="66" customFormat="false" ht="46.25" hidden="false" customHeight="false" outlineLevel="0" collapsed="false">
      <c r="A66" s="9" t="s">
        <v>294</v>
      </c>
      <c r="B66" s="5" t="s">
        <v>288</v>
      </c>
      <c r="C66" s="5" t="s">
        <v>295</v>
      </c>
      <c r="D66" s="5" t="s">
        <v>296</v>
      </c>
      <c r="E66" s="5" t="s">
        <v>297</v>
      </c>
      <c r="F66" s="5" t="s">
        <v>292</v>
      </c>
      <c r="G66" s="5" t="s">
        <v>298</v>
      </c>
      <c r="H66" s="6" t="s">
        <v>20</v>
      </c>
      <c r="I66" s="5" t="s">
        <v>292</v>
      </c>
      <c r="J66" s="5" t="s">
        <v>50</v>
      </c>
    </row>
    <row r="67" customFormat="false" ht="46.25" hidden="false" customHeight="false" outlineLevel="0" collapsed="false">
      <c r="A67" s="10" t="s">
        <v>299</v>
      </c>
      <c r="B67" s="7" t="s">
        <v>300</v>
      </c>
      <c r="C67" s="7" t="s">
        <v>301</v>
      </c>
      <c r="D67" s="7" t="s">
        <v>302</v>
      </c>
      <c r="E67" s="7" t="s">
        <v>303</v>
      </c>
      <c r="F67" s="7" t="s">
        <v>304</v>
      </c>
      <c r="G67" s="7" t="s">
        <v>39</v>
      </c>
      <c r="H67" s="8" t="s">
        <v>20</v>
      </c>
      <c r="I67" s="7" t="s">
        <v>304</v>
      </c>
      <c r="J67" s="7" t="s">
        <v>50</v>
      </c>
    </row>
    <row r="68" customFormat="false" ht="46.25" hidden="false" customHeight="false" outlineLevel="0" collapsed="false">
      <c r="A68" s="9" t="s">
        <v>305</v>
      </c>
      <c r="B68" s="5" t="s">
        <v>306</v>
      </c>
      <c r="C68" s="5" t="s">
        <v>307</v>
      </c>
      <c r="D68" s="5" t="s">
        <v>308</v>
      </c>
      <c r="E68" s="5" t="s">
        <v>309</v>
      </c>
      <c r="F68" s="5" t="s">
        <v>304</v>
      </c>
      <c r="G68" s="5" t="s">
        <v>39</v>
      </c>
      <c r="H68" s="6" t="s">
        <v>20</v>
      </c>
      <c r="I68" s="5" t="s">
        <v>304</v>
      </c>
      <c r="J68" s="5" t="s">
        <v>50</v>
      </c>
    </row>
    <row r="69" customFormat="false" ht="35.05" hidden="false" customHeight="false" outlineLevel="0" collapsed="false">
      <c r="A69" s="10" t="s">
        <v>310</v>
      </c>
      <c r="B69" s="7" t="s">
        <v>311</v>
      </c>
      <c r="C69" s="7" t="s">
        <v>312</v>
      </c>
      <c r="D69" s="7" t="s">
        <v>313</v>
      </c>
      <c r="E69" s="7" t="s">
        <v>314</v>
      </c>
      <c r="F69" s="7" t="s">
        <v>304</v>
      </c>
      <c r="G69" s="7" t="s">
        <v>315</v>
      </c>
      <c r="H69" s="8" t="s">
        <v>20</v>
      </c>
      <c r="I69" s="7" t="s">
        <v>304</v>
      </c>
      <c r="J69" s="7" t="s">
        <v>50</v>
      </c>
    </row>
    <row r="70" customFormat="false" ht="46.25" hidden="false" customHeight="false" outlineLevel="0" collapsed="false">
      <c r="A70" s="9" t="s">
        <v>316</v>
      </c>
      <c r="B70" s="5" t="s">
        <v>317</v>
      </c>
      <c r="C70" s="5" t="s">
        <v>318</v>
      </c>
      <c r="D70" s="5" t="s">
        <v>319</v>
      </c>
      <c r="E70" s="5" t="s">
        <v>320</v>
      </c>
      <c r="F70" s="5" t="s">
        <v>321</v>
      </c>
      <c r="G70" s="5" t="s">
        <v>39</v>
      </c>
      <c r="H70" s="6" t="s">
        <v>20</v>
      </c>
      <c r="I70" s="5" t="s">
        <v>321</v>
      </c>
      <c r="J70" s="5" t="s">
        <v>50</v>
      </c>
    </row>
    <row r="71" customFormat="false" ht="68.65" hidden="false" customHeight="false" outlineLevel="0" collapsed="false">
      <c r="A71" s="10" t="s">
        <v>322</v>
      </c>
      <c r="B71" s="7" t="s">
        <v>124</v>
      </c>
      <c r="C71" s="7" t="s">
        <v>323</v>
      </c>
      <c r="D71" s="7" t="s">
        <v>324</v>
      </c>
      <c r="E71" s="7" t="s">
        <v>325</v>
      </c>
      <c r="F71" s="7" t="s">
        <v>321</v>
      </c>
      <c r="G71" s="7" t="s">
        <v>19</v>
      </c>
      <c r="H71" s="8" t="s">
        <v>20</v>
      </c>
      <c r="I71" s="7" t="s">
        <v>321</v>
      </c>
      <c r="J71" s="7" t="s">
        <v>50</v>
      </c>
    </row>
    <row r="72" customFormat="false" ht="46.25" hidden="false" customHeight="false" outlineLevel="0" collapsed="false">
      <c r="A72" s="9" t="s">
        <v>326</v>
      </c>
      <c r="B72" s="5" t="s">
        <v>95</v>
      </c>
      <c r="C72" s="5" t="s">
        <v>327</v>
      </c>
      <c r="D72" s="5" t="s">
        <v>328</v>
      </c>
      <c r="E72" s="5" t="s">
        <v>329</v>
      </c>
      <c r="F72" s="5" t="s">
        <v>321</v>
      </c>
      <c r="G72" s="5" t="s">
        <v>39</v>
      </c>
      <c r="H72" s="6" t="s">
        <v>20</v>
      </c>
      <c r="I72" s="5" t="s">
        <v>321</v>
      </c>
      <c r="J72" s="5" t="s">
        <v>50</v>
      </c>
    </row>
    <row r="73" customFormat="false" ht="57.45" hidden="false" customHeight="false" outlineLevel="0" collapsed="false">
      <c r="A73" s="10" t="s">
        <v>330</v>
      </c>
      <c r="B73" s="7" t="s">
        <v>311</v>
      </c>
      <c r="C73" s="7" t="s">
        <v>331</v>
      </c>
      <c r="D73" s="7" t="s">
        <v>332</v>
      </c>
      <c r="E73" s="7" t="s">
        <v>333</v>
      </c>
      <c r="F73" s="7" t="s">
        <v>321</v>
      </c>
      <c r="G73" s="7" t="s">
        <v>315</v>
      </c>
      <c r="H73" s="8" t="s">
        <v>20</v>
      </c>
      <c r="I73" s="7" t="s">
        <v>321</v>
      </c>
      <c r="J73" s="7" t="s">
        <v>50</v>
      </c>
    </row>
    <row r="74" customFormat="false" ht="15" hidden="false" customHeight="false" outlineLevel="0" collapsed="false">
      <c r="A74" s="12" t="s">
        <v>334</v>
      </c>
      <c r="B74" s="12"/>
      <c r="C74" s="12"/>
      <c r="D74" s="12"/>
      <c r="E74" s="12"/>
      <c r="F74" s="12"/>
      <c r="G74" s="12"/>
      <c r="H74" s="12"/>
      <c r="I74" s="12"/>
      <c r="J74" s="12"/>
    </row>
  </sheetData>
  <mergeCells count="1">
    <mergeCell ref="A74:J74"/>
  </mergeCells>
  <dataValidations count="1">
    <dataValidation allowBlank="true" errorStyle="stop" operator="between" showDropDown="false" showErrorMessage="false" showInputMessage="false" sqref="H6:H300" type="list">
      <formula1>"Locked,Open,Proposed,Superseded"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2026-06-03T12:11:48Z</dcterms:created>
  <dc:creator>openpyxl</dc:creator>
  <dc:description/>
  <dc:language>en-US</dc:language>
  <cp:lastModifiedBy/>
  <dcterms:modified xsi:type="dcterms:W3CDTF">2026-06-03T12:11:48Z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